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الجامعة\مشاريع Github\master-tiaret2026\"/>
    </mc:Choice>
  </mc:AlternateContent>
  <xr:revisionPtr revIDLastSave="0" documentId="8_{D06FA66E-4858-444B-8F3C-65F2B1A2DC12}" xr6:coauthVersionLast="47" xr6:coauthVersionMax="47" xr10:uidLastSave="{00000000-0000-0000-0000-000000000000}"/>
  <bookViews>
    <workbookView xWindow="-120" yWindow="-120" windowWidth="19440" windowHeight="13920" tabRatio="702" xr2:uid="{00000000-000D-0000-FFFF-FFFF00000000}"/>
  </bookViews>
  <sheets>
    <sheet name="كل التخصصات" sheetId="5" r:id="rId1"/>
    <sheet name="الاحصائيات" sheetId="8" r:id="rId2"/>
    <sheet name="محضر المناقشة" sheetId="7" r:id="rId3"/>
    <sheet name="لسانيات الخطاب" sheetId="9" r:id="rId4"/>
    <sheet name="مواضيع لسانيات الخطاب" sheetId="10" r:id="rId5"/>
  </sheets>
  <definedNames>
    <definedName name="_xlnm._FilterDatabase" localSheetId="1" hidden="1">الاحصائيات!$A$5:$S$6</definedName>
    <definedName name="_xlnm._FilterDatabase" localSheetId="0" hidden="1">'كل التخصصات'!$A$2:$O$87</definedName>
    <definedName name="_xlnm._FilterDatabase" localSheetId="3" hidden="1">'لسانيات الخطاب'!$A$2:$V$44</definedName>
    <definedName name="_xlnm._FilterDatabase" localSheetId="4" hidden="1">'مواضيع لسانيات الخطاب'!$A$1:$E$1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8" l="1"/>
  <c r="M17" i="8"/>
  <c r="R17" i="8"/>
  <c r="H69" i="8"/>
  <c r="M69" i="8"/>
  <c r="R69" i="8"/>
  <c r="E86" i="8"/>
  <c r="F86" i="8"/>
  <c r="G86" i="8"/>
  <c r="I86" i="8"/>
  <c r="J86" i="8"/>
  <c r="K86" i="8"/>
  <c r="L86" i="8"/>
  <c r="N86" i="8"/>
  <c r="O86" i="8"/>
  <c r="P86" i="8"/>
  <c r="Q86" i="8"/>
  <c r="D86" i="8"/>
  <c r="H70" i="8"/>
  <c r="M70" i="8"/>
  <c r="R70" i="8"/>
  <c r="H16" i="8"/>
  <c r="M16" i="8"/>
  <c r="R16" i="8"/>
  <c r="H65" i="8"/>
  <c r="M65" i="8"/>
  <c r="R65" i="8"/>
  <c r="H32" i="8"/>
  <c r="M32" i="8"/>
  <c r="R32" i="8"/>
  <c r="H29" i="8"/>
  <c r="M29" i="8"/>
  <c r="R29" i="8"/>
  <c r="S17" i="8" l="1"/>
  <c r="S69" i="8"/>
  <c r="S70" i="8"/>
  <c r="S16" i="8"/>
  <c r="S65" i="8"/>
  <c r="S32" i="8"/>
  <c r="S29" i="8"/>
  <c r="B14" i="7" l="1"/>
  <c r="H79" i="8"/>
  <c r="M79" i="8"/>
  <c r="R79" i="8"/>
  <c r="H68" i="8"/>
  <c r="M68" i="8"/>
  <c r="R68" i="8"/>
  <c r="H20" i="8"/>
  <c r="M20" i="8"/>
  <c r="R20" i="8"/>
  <c r="H42" i="8"/>
  <c r="M42" i="8"/>
  <c r="R42" i="8"/>
  <c r="H8" i="8"/>
  <c r="M8" i="8"/>
  <c r="R8" i="8"/>
  <c r="H60" i="8"/>
  <c r="M60" i="8"/>
  <c r="R60" i="8"/>
  <c r="H48" i="8"/>
  <c r="M48" i="8"/>
  <c r="R48" i="8"/>
  <c r="H9" i="8"/>
  <c r="M9" i="8"/>
  <c r="R9" i="8"/>
  <c r="H22" i="8"/>
  <c r="M22" i="8"/>
  <c r="R22" i="8"/>
  <c r="H41" i="8"/>
  <c r="M41" i="8"/>
  <c r="R41" i="8"/>
  <c r="H23" i="8"/>
  <c r="M23" i="8"/>
  <c r="R23" i="8"/>
  <c r="H10" i="8"/>
  <c r="M10" i="8"/>
  <c r="R10" i="8"/>
  <c r="H11" i="8"/>
  <c r="M11" i="8"/>
  <c r="R11" i="8"/>
  <c r="H71" i="8"/>
  <c r="M71" i="8"/>
  <c r="R71" i="8"/>
  <c r="H24" i="8"/>
  <c r="M24" i="8"/>
  <c r="R24" i="8"/>
  <c r="H72" i="8"/>
  <c r="M72" i="8"/>
  <c r="R72" i="8"/>
  <c r="H40" i="8"/>
  <c r="M40" i="8"/>
  <c r="R40" i="8"/>
  <c r="H61" i="8"/>
  <c r="M61" i="8"/>
  <c r="R61" i="8"/>
  <c r="H73" i="8"/>
  <c r="M73" i="8"/>
  <c r="R73" i="8"/>
  <c r="H80" i="8"/>
  <c r="M80" i="8"/>
  <c r="R80" i="8"/>
  <c r="H81" i="8"/>
  <c r="M81" i="8"/>
  <c r="R81" i="8"/>
  <c r="H12" i="8"/>
  <c r="M12" i="8"/>
  <c r="R12" i="8"/>
  <c r="H49" i="8"/>
  <c r="M49" i="8"/>
  <c r="R49" i="8"/>
  <c r="H25" i="8"/>
  <c r="M25" i="8"/>
  <c r="R25" i="8"/>
  <c r="H62" i="8"/>
  <c r="M62" i="8"/>
  <c r="R62" i="8"/>
  <c r="H13" i="8"/>
  <c r="M13" i="8"/>
  <c r="R13" i="8"/>
  <c r="H63" i="8"/>
  <c r="M63" i="8"/>
  <c r="R63" i="8"/>
  <c r="H14" i="8"/>
  <c r="M14" i="8"/>
  <c r="R14" i="8"/>
  <c r="H26" i="8"/>
  <c r="M26" i="8"/>
  <c r="R26" i="8"/>
  <c r="H27" i="8"/>
  <c r="M27" i="8"/>
  <c r="R27" i="8"/>
  <c r="H28" i="8"/>
  <c r="M28" i="8"/>
  <c r="R28" i="8"/>
  <c r="H50" i="8"/>
  <c r="M50" i="8"/>
  <c r="R50" i="8"/>
  <c r="H74" i="8"/>
  <c r="M74" i="8"/>
  <c r="R74" i="8"/>
  <c r="H43" i="8"/>
  <c r="M43" i="8"/>
  <c r="R43" i="8"/>
  <c r="H75" i="8"/>
  <c r="M75" i="8"/>
  <c r="R75" i="8"/>
  <c r="H15" i="8"/>
  <c r="M15" i="8"/>
  <c r="R15" i="8"/>
  <c r="H64" i="8"/>
  <c r="M64" i="8"/>
  <c r="R64" i="8"/>
  <c r="H44" i="8"/>
  <c r="M44" i="8"/>
  <c r="R44" i="8"/>
  <c r="H82" i="8"/>
  <c r="M82" i="8"/>
  <c r="R82" i="8"/>
  <c r="H45" i="8"/>
  <c r="M45" i="8"/>
  <c r="R45" i="8"/>
  <c r="H46" i="8"/>
  <c r="M46" i="8"/>
  <c r="R46" i="8"/>
  <c r="H51" i="8"/>
  <c r="M51" i="8"/>
  <c r="R51" i="8"/>
  <c r="H76" i="8"/>
  <c r="M76" i="8"/>
  <c r="R76" i="8"/>
  <c r="H30" i="8"/>
  <c r="M30" i="8"/>
  <c r="R30" i="8"/>
  <c r="H31" i="8"/>
  <c r="M31" i="8"/>
  <c r="R31" i="8"/>
  <c r="H66" i="8"/>
  <c r="M66" i="8"/>
  <c r="R66" i="8"/>
  <c r="H33" i="8"/>
  <c r="M33" i="8"/>
  <c r="R33" i="8"/>
  <c r="H34" i="8"/>
  <c r="M34" i="8"/>
  <c r="R34" i="8"/>
  <c r="H77" i="8"/>
  <c r="M77" i="8"/>
  <c r="R77" i="8"/>
  <c r="H55" i="8"/>
  <c r="M55" i="8"/>
  <c r="R55" i="8"/>
  <c r="H56" i="8"/>
  <c r="M56" i="8"/>
  <c r="R56" i="8"/>
  <c r="H47" i="8"/>
  <c r="M47" i="8"/>
  <c r="R47" i="8"/>
  <c r="H83" i="8"/>
  <c r="M83" i="8"/>
  <c r="R83" i="8"/>
  <c r="H57" i="8"/>
  <c r="M57" i="8"/>
  <c r="R57" i="8"/>
  <c r="H18" i="8"/>
  <c r="M18" i="8"/>
  <c r="R18" i="8"/>
  <c r="H58" i="8"/>
  <c r="M58" i="8"/>
  <c r="R58" i="8"/>
  <c r="H67" i="8"/>
  <c r="M67" i="8"/>
  <c r="R67" i="8"/>
  <c r="H52" i="8"/>
  <c r="M52" i="8"/>
  <c r="R52" i="8"/>
  <c r="H19" i="8"/>
  <c r="M19" i="8"/>
  <c r="R19" i="8"/>
  <c r="H59" i="8"/>
  <c r="M59" i="8"/>
  <c r="R59" i="8"/>
  <c r="H53" i="8"/>
  <c r="M53" i="8"/>
  <c r="R53" i="8"/>
  <c r="H35" i="8"/>
  <c r="M35" i="8"/>
  <c r="R35" i="8"/>
  <c r="H36" i="8"/>
  <c r="M36" i="8"/>
  <c r="R36" i="8"/>
  <c r="H37" i="8"/>
  <c r="M37" i="8"/>
  <c r="R37" i="8"/>
  <c r="H78" i="8"/>
  <c r="M78" i="8"/>
  <c r="R78" i="8"/>
  <c r="H84" i="8"/>
  <c r="M84" i="8"/>
  <c r="R84" i="8"/>
  <c r="H38" i="8"/>
  <c r="M38" i="8"/>
  <c r="R38" i="8"/>
  <c r="H39" i="8"/>
  <c r="M39" i="8"/>
  <c r="R39" i="8"/>
  <c r="H54" i="8"/>
  <c r="M54" i="8"/>
  <c r="R54" i="8"/>
  <c r="H21" i="8"/>
  <c r="M21" i="8"/>
  <c r="R21" i="8"/>
  <c r="C9" i="7"/>
  <c r="G11" i="7"/>
  <c r="G10" i="7"/>
  <c r="G9" i="7"/>
  <c r="C12" i="7"/>
  <c r="D19" i="7"/>
  <c r="D18" i="7"/>
  <c r="D17" i="7"/>
  <c r="B19" i="7"/>
  <c r="B18" i="7"/>
  <c r="B17" i="7"/>
  <c r="C13" i="7"/>
  <c r="C10" i="7"/>
  <c r="G28" i="7"/>
  <c r="D28" i="7"/>
  <c r="M86" i="8" l="1"/>
  <c r="H86" i="8"/>
  <c r="R86" i="8"/>
  <c r="P87" i="8"/>
  <c r="Q87" i="8"/>
  <c r="J87" i="8"/>
  <c r="G87" i="8"/>
  <c r="D87" i="8"/>
  <c r="L87" i="8"/>
  <c r="K87" i="8"/>
  <c r="I87" i="8"/>
  <c r="F87" i="8"/>
  <c r="N87" i="8"/>
  <c r="E87" i="8"/>
  <c r="O87" i="8"/>
  <c r="S79" i="8"/>
  <c r="S38" i="8"/>
  <c r="S36" i="8"/>
  <c r="S19" i="8"/>
  <c r="S18" i="8"/>
  <c r="S56" i="8"/>
  <c r="S33" i="8"/>
  <c r="S76" i="8"/>
  <c r="S82" i="8"/>
  <c r="S75" i="8"/>
  <c r="S28" i="8"/>
  <c r="S63" i="8"/>
  <c r="S80" i="8"/>
  <c r="S72" i="8"/>
  <c r="S10" i="8"/>
  <c r="S22" i="8"/>
  <c r="S39" i="8"/>
  <c r="S84" i="8"/>
  <c r="S37" i="8"/>
  <c r="S59" i="8"/>
  <c r="S52" i="8"/>
  <c r="S58" i="8"/>
  <c r="S57" i="8"/>
  <c r="S47" i="8"/>
  <c r="S55" i="8"/>
  <c r="S34" i="8"/>
  <c r="S66" i="8"/>
  <c r="S30" i="8"/>
  <c r="S51" i="8"/>
  <c r="S45" i="8"/>
  <c r="S44" i="8"/>
  <c r="S15" i="8"/>
  <c r="S43" i="8"/>
  <c r="S50" i="8"/>
  <c r="S27" i="8"/>
  <c r="S14" i="8"/>
  <c r="S13" i="8"/>
  <c r="S25" i="8"/>
  <c r="S49" i="8"/>
  <c r="S81" i="8"/>
  <c r="S73" i="8"/>
  <c r="S40" i="8"/>
  <c r="S24" i="8"/>
  <c r="S11" i="8"/>
  <c r="S23" i="8"/>
  <c r="S41" i="8"/>
  <c r="S9" i="8"/>
  <c r="S60" i="8"/>
  <c r="S8" i="8"/>
  <c r="S42" i="8"/>
  <c r="S68" i="8"/>
  <c r="S21" i="8"/>
  <c r="S35" i="8"/>
  <c r="S54" i="8"/>
  <c r="S78" i="8"/>
  <c r="S53" i="8"/>
  <c r="S67" i="8"/>
  <c r="S83" i="8"/>
  <c r="S77" i="8"/>
  <c r="S31" i="8"/>
  <c r="S46" i="8"/>
  <c r="S64" i="8"/>
  <c r="S74" i="8"/>
  <c r="S26" i="8"/>
  <c r="S62" i="8"/>
  <c r="S12" i="8"/>
  <c r="S61" i="8"/>
  <c r="S71" i="8"/>
  <c r="S48" i="8"/>
  <c r="S20" i="8"/>
  <c r="M87" i="8" l="1"/>
  <c r="R87" i="8"/>
  <c r="H87" i="8"/>
  <c r="S86" i="8"/>
</calcChain>
</file>

<file path=xl/sharedStrings.xml><?xml version="1.0" encoding="utf-8"?>
<sst xmlns="http://schemas.openxmlformats.org/spreadsheetml/2006/main" count="1372" uniqueCount="552">
  <si>
    <t xml:space="preserve">الرقم </t>
  </si>
  <si>
    <t>الموضوع</t>
  </si>
  <si>
    <t>الأستاذ المشرف</t>
  </si>
  <si>
    <t>اسم الطالب الأول</t>
  </si>
  <si>
    <t>اسم الطالب الثاني</t>
  </si>
  <si>
    <t>الشعبة</t>
  </si>
  <si>
    <t>التخصص</t>
  </si>
  <si>
    <t>سبع بلمرسلي</t>
  </si>
  <si>
    <t>العامي حفيظة</t>
  </si>
  <si>
    <t>دراسات لغوية</t>
  </si>
  <si>
    <t>لسانيات الخطاب</t>
  </si>
  <si>
    <t>بوكلخة صورية</t>
  </si>
  <si>
    <t>رئيس اللجنة</t>
  </si>
  <si>
    <t>الرتبة</t>
  </si>
  <si>
    <t>العضو المناقش</t>
  </si>
  <si>
    <t>أستاذ التعليم العالي</t>
  </si>
  <si>
    <t>الجمهورية الجزائرية الديمقراطية الشعبية</t>
  </si>
  <si>
    <t>وزارة التعليم العالي والبحث العلمي</t>
  </si>
  <si>
    <t>جامعة ابن خلدون ــــ تيارت ـــــ</t>
  </si>
  <si>
    <t>كلية الآداب واللغات</t>
  </si>
  <si>
    <t>قسم اللغة العربية وآدابها</t>
  </si>
  <si>
    <t>محضر مناقشة مذكرة ماستر</t>
  </si>
  <si>
    <t>رقم المذكرة : /</t>
  </si>
  <si>
    <t>اسم ولقب الطالب (ة) :</t>
  </si>
  <si>
    <t>مسجل بانتظام في السنة الثانية ماستر : /</t>
  </si>
  <si>
    <t xml:space="preserve">الشعبة : </t>
  </si>
  <si>
    <t xml:space="preserve">التخصص : </t>
  </si>
  <si>
    <t xml:space="preserve">عنوان المذكرة : </t>
  </si>
  <si>
    <t>ناقش (ت) علنا  أمام لجنة المناقشة المكونة من الأساتذة : /</t>
  </si>
  <si>
    <t>أعضاء اللجنة</t>
  </si>
  <si>
    <t>الاسم واللقب</t>
  </si>
  <si>
    <t>الربتة</t>
  </si>
  <si>
    <t>الجامعة</t>
  </si>
  <si>
    <t>الامضاء</t>
  </si>
  <si>
    <t>رئيس</t>
  </si>
  <si>
    <t>جامعة ابن خلدون ـــ تيارت ـــ</t>
  </si>
  <si>
    <t>مقرر</t>
  </si>
  <si>
    <t>مناقش</t>
  </si>
  <si>
    <t xml:space="preserve">بعد المداولات فررت اللجنة منح التقدير التالي : </t>
  </si>
  <si>
    <t xml:space="preserve">بتقدير : / </t>
  </si>
  <si>
    <t>مقبول 10 -12</t>
  </si>
  <si>
    <t>جيد 14 -16</t>
  </si>
  <si>
    <t>قريب من الجيد 12 -14</t>
  </si>
  <si>
    <t>جيد جدا 16 -18</t>
  </si>
  <si>
    <t>متاز 18 -20</t>
  </si>
  <si>
    <t xml:space="preserve">تيارت في : / </t>
  </si>
  <si>
    <t>الموافق</t>
  </si>
  <si>
    <t>رئيس القسم</t>
  </si>
  <si>
    <t>بلقاسم عيسى</t>
  </si>
  <si>
    <t>بن يمينة رشيد</t>
  </si>
  <si>
    <t>عدة قادة</t>
  </si>
  <si>
    <t>عزوز ميلود</t>
  </si>
  <si>
    <t>موفق عبد القادر</t>
  </si>
  <si>
    <t>حسيني بلقاسم</t>
  </si>
  <si>
    <t>بلحسين محمّد</t>
  </si>
  <si>
    <t>يعقوب الزهرة</t>
  </si>
  <si>
    <t>فارز فاطيمة</t>
  </si>
  <si>
    <t>بوهنوش فاطمة</t>
  </si>
  <si>
    <t>جبالي فتيحة</t>
  </si>
  <si>
    <t>حدوارة عمر</t>
  </si>
  <si>
    <t>مرضي مصطفى</t>
  </si>
  <si>
    <t>بن جلول مختار</t>
  </si>
  <si>
    <t>بولخراص محمد</t>
  </si>
  <si>
    <t>منقور صلاح الدين</t>
  </si>
  <si>
    <t>مهيدي منصور</t>
  </si>
  <si>
    <t>قوتال فضيلة</t>
  </si>
  <si>
    <t>بن فريحة عبد الصمد</t>
  </si>
  <si>
    <t>قاسم قادة</t>
  </si>
  <si>
    <t>نجادي بوعمامة</t>
  </si>
  <si>
    <t>كراش بن خولة</t>
  </si>
  <si>
    <t>فارز فاطمة</t>
  </si>
  <si>
    <t>بن شريف محمد</t>
  </si>
  <si>
    <t>حاجي زوليخة</t>
  </si>
  <si>
    <t>حميداني عيسى</t>
  </si>
  <si>
    <t>ميس سعاد</t>
  </si>
  <si>
    <t>صالحي جمال</t>
  </si>
  <si>
    <t>حميدة مداني</t>
  </si>
  <si>
    <t xml:space="preserve">قاسم قادة </t>
  </si>
  <si>
    <t>بن مسعود قدور</t>
  </si>
  <si>
    <t>بالول احمد</t>
  </si>
  <si>
    <t xml:space="preserve">حاجي زوليخة </t>
  </si>
  <si>
    <t>بلمهل عبد الهادي</t>
  </si>
  <si>
    <t xml:space="preserve">مداني علي </t>
  </si>
  <si>
    <t>نهاري شريف</t>
  </si>
  <si>
    <t xml:space="preserve">حميداني عيسى </t>
  </si>
  <si>
    <t xml:space="preserve">بن جلول مختار </t>
  </si>
  <si>
    <t>يحياوي عامر</t>
  </si>
  <si>
    <t xml:space="preserve">بوكلخة صورية </t>
  </si>
  <si>
    <t>شريط رابح</t>
  </si>
  <si>
    <t>عطى الله الناصر</t>
  </si>
  <si>
    <t>يوسفي يوسف</t>
  </si>
  <si>
    <t>باقل دنيا</t>
  </si>
  <si>
    <t xml:space="preserve">دبيح محمد </t>
  </si>
  <si>
    <t>موازبي ربيع</t>
  </si>
  <si>
    <t>شريفي فاطمة</t>
  </si>
  <si>
    <t>تركي امحمد</t>
  </si>
  <si>
    <t>مزيلط محمد</t>
  </si>
  <si>
    <t>شريف حسني عبد القادر</t>
  </si>
  <si>
    <t>بلعجين سفيان</t>
  </si>
  <si>
    <t>سعيد بلعربي لخضر</t>
  </si>
  <si>
    <t>محمودي بشير</t>
  </si>
  <si>
    <t>نعار محمد</t>
  </si>
  <si>
    <t>بوعزيزة علي</t>
  </si>
  <si>
    <t>كبريت علي</t>
  </si>
  <si>
    <t>صوالح محمد</t>
  </si>
  <si>
    <t>حاج علي ليلى</t>
  </si>
  <si>
    <t>عبددو رابح</t>
  </si>
  <si>
    <t>قرور معاشو</t>
  </si>
  <si>
    <t>معازيز بوبكر</t>
  </si>
  <si>
    <t>خروبي بلقاسم</t>
  </si>
  <si>
    <t>أحمد الحاج أنيسة</t>
  </si>
  <si>
    <t>دراسات أدبية</t>
  </si>
  <si>
    <t>أدب حديث ومعاصر</t>
  </si>
  <si>
    <t>دراسات نقدية</t>
  </si>
  <si>
    <t>نقد حديث ومعاصر</t>
  </si>
  <si>
    <t>داود أمحمد</t>
  </si>
  <si>
    <t>زروقي عبد القادر</t>
  </si>
  <si>
    <t>مكيكة محمد جواد</t>
  </si>
  <si>
    <t xml:space="preserve">كراش بن خولة </t>
  </si>
  <si>
    <t xml:space="preserve">بوزيان أحمد </t>
  </si>
  <si>
    <t xml:space="preserve">بوزيدي محمد </t>
  </si>
  <si>
    <t>تاريخ المناقشة</t>
  </si>
  <si>
    <t>التوقيت</t>
  </si>
  <si>
    <t>المكان</t>
  </si>
  <si>
    <t>علامة العضو المناقش : ....../20 -- علامة رئيس الجلسة : ........./ 20  -- العلامة النهائية : .......... /20</t>
  </si>
  <si>
    <t>تاريخ المناقشة : /</t>
  </si>
  <si>
    <t>التوقيت : /</t>
  </si>
  <si>
    <t>مكان المناقشة : /</t>
  </si>
  <si>
    <t>الاشراف</t>
  </si>
  <si>
    <t>رئاسة الجلسات</t>
  </si>
  <si>
    <t>عضوية المناقشة</t>
  </si>
  <si>
    <t>المجموع</t>
  </si>
  <si>
    <t>الرقم</t>
  </si>
  <si>
    <t xml:space="preserve">بلقنيشي علي </t>
  </si>
  <si>
    <t>بلقنيشي علي</t>
  </si>
  <si>
    <t>بن يحي صحراوي</t>
  </si>
  <si>
    <t>تعليمية اللغات</t>
  </si>
  <si>
    <t>الرتبة2</t>
  </si>
  <si>
    <t>الرتبة3</t>
  </si>
  <si>
    <t>أستاذ محاضر - أ -</t>
  </si>
  <si>
    <t>أستاذ محاضر - ب -</t>
  </si>
  <si>
    <t>بوشريحة إبراهيم</t>
  </si>
  <si>
    <t>بوطرفاية مصطفى</t>
  </si>
  <si>
    <t>احميدة مداني</t>
  </si>
  <si>
    <t>أستاذ محاضر أ</t>
  </si>
  <si>
    <t xml:space="preserve">أسلوب النهي بين التركيب والدلالة في القرٱن الكربم </t>
  </si>
  <si>
    <t>أستاذ التعليم  العالي</t>
  </si>
  <si>
    <t xml:space="preserve"> ما التعجبية بين الدلالة والتركيب في القرٱن الكريم </t>
  </si>
  <si>
    <t>بلاغة الصمت في مخاطبات النفري</t>
  </si>
  <si>
    <t>هندسة الخطاب التعليمي الاِفتراضي وتداولية أفعال التحفيز نظرية كيلر على عينة من الطلبة الجامعيين</t>
  </si>
  <si>
    <t>بنيات الخطاب الأنثوي في النص القرآني - خطابات مريم عليها السلام أنموذجا -</t>
  </si>
  <si>
    <t xml:space="preserve">مصطلحات لسانيات النص وتحليل الخطاب دراسة تقويمية لمعجم  المصطلحات الأساسية في لسانيات النص وتحليل الخطاب  نعمان بوقرة </t>
  </si>
  <si>
    <t xml:space="preserve">	بلاغة أسلوب الاحتراس في القرآن الكريم من خلال تفسير (التحرير والتنوير) للشيخ ابن عاشور</t>
  </si>
  <si>
    <t>حجاجية التمثيل في الحديث النبوي الشريف -دراسة لنماذج مختارة من صحيحي البخاري ومسلم-</t>
  </si>
  <si>
    <t>الدلالة التركيبية في ديوان "طال الشتات" لمريد البرغوثي</t>
  </si>
  <si>
    <t>أستاذ محاضر ب</t>
  </si>
  <si>
    <t xml:space="preserve">	ظاهرة اللغة والمجاز  في فكر عبد الوهاب المسيري- دراسة تحليلية لكتابه اللغة والمجاز بين التوحيد ووحدة الوجود-</t>
  </si>
  <si>
    <t xml:space="preserve">	التفكير اللساني في كتاب "المنوال النحوي العربي قراءة لسانية جديدة" لعز الدين المجدوب</t>
  </si>
  <si>
    <t xml:space="preserve"> بلاغة الأبنية الصرفية في النص القرآني – آيات المنافقين أنموذجا –</t>
  </si>
  <si>
    <t>دلالة اسم المفعول في القرآن الكريم سورة البقرة انموذجا</t>
  </si>
  <si>
    <t xml:space="preserve"> المنزع العقلي في كتاب دلائل الإعجاز لعبد القاهر الجرحاني </t>
  </si>
  <si>
    <t xml:space="preserve">لغة الخطاب التواصلي في المجتمع الجزائري  - نماذج مختلفة </t>
  </si>
  <si>
    <t xml:space="preserve">الأبعاد الدلالية لمقولة الربط في نظام الجملة القرآنية </t>
  </si>
  <si>
    <t>المعالجة الحاسوبية للنظام التركيبي للغة العربية – دراسة في الترابط الذهني بين المستويات اللغوية وكيفية تعليمها – نماذج من الكتاب لسيبويه"</t>
  </si>
  <si>
    <t xml:space="preserve">استاذ التعليم العالي </t>
  </si>
  <si>
    <t>التصور البنيوي للمستويات اللغوية وكيفية تعليميتها "السنة الثالثة من التعليم المتوسط نموذجا</t>
  </si>
  <si>
    <t xml:space="preserve">وظيفية النصوص الأدبية في دراسة الظواهر البلاغية- مقرر السنة الأولى ثانوي أنموذجا -  </t>
  </si>
  <si>
    <t>أثر الاكتساب اللغوي في تنمية المهارات اللغوية (المرحلة الابتدائية ) أنموذجا</t>
  </si>
  <si>
    <t xml:space="preserve">سمات المنهج التعليمي في كتاب الكامل للمبرّد </t>
  </si>
  <si>
    <t>ملامح النظرية التعليمية في كتاب البيان والتبيين للجاحظ</t>
  </si>
  <si>
    <t>محتوى النصوص و استراتيجية تحليلها و أثرها في تحقيق الكفاءة القاعدية _مستوى الطور المتوسط انموذجا_</t>
  </si>
  <si>
    <t>صعوبات تعلم وتعليم اللغة العربية بين الواقع المعلول و التشخيص المأمول-الطور المتوسط أنموذجا-</t>
  </si>
  <si>
    <t>النص الأدبي بين التعليمية و الجمالية-الطور الثانوي شعبة آداب و فلسفة أنموذجا-</t>
  </si>
  <si>
    <t>تعليمية اللّغة العربية بين المقاربات البيداغوجية والمقاربات اللّسانية- مرحلة التّعليم المتوسّط أنموذجاً</t>
  </si>
  <si>
    <t>بن صحراوي بن يحي</t>
  </si>
  <si>
    <t>أستاذ مساعد ب</t>
  </si>
  <si>
    <t>صناعة المصطلح التّربوي بين التّجديد اللّغوي وتدوير المفردات- منهاج اللّغة العربيّة لمرحلة التّعليم الابتدائي أنموذجاً</t>
  </si>
  <si>
    <t>المنهج الصّوتي - الخطّي ومكانته في تعليمية اللّغة العربية بين المُدَارَسَة والمُمارسة- مرحلة التّعليم الابتدائي أنموذجاً</t>
  </si>
  <si>
    <t xml:space="preserve">تقييم مكتسبات السّنة الخامسة ابتدائي في الأداء القرائي الجهري - دراسة تحليلية - </t>
  </si>
  <si>
    <t xml:space="preserve">فتيحة جبالي </t>
  </si>
  <si>
    <t>ثنائية اللهجة والفصجى بين المتعلم والمعلم في ثنايا العملية التعليمية - الطور المتوسط نموذجا -</t>
  </si>
  <si>
    <t xml:space="preserve"> النظام التعليمي في المدرسة الجزائرية الوطنية  من خلال فلسفة بناء المناهج- دراسة تحليلية </t>
  </si>
  <si>
    <t>الانشطة اللغوية في القسم التحضيري و دورها في اكتساب الملكة اللغوية لدى الطفل.</t>
  </si>
  <si>
    <t>تعليمية الدرس البلاغي في المرحلة الثانوية -شعبة اداب و فلسفة انموذجا</t>
  </si>
  <si>
    <t xml:space="preserve"> الاخطاء اللغوية في المنتوج الكتابي للوضعية الادماجية  -تلاميذ الاولى متوسط انموذجا </t>
  </si>
  <si>
    <t>النظرية الإبداعية واسقاطاتها التربوية - دراسة في الماهية والأهداف -- الطور المتوسط أنموذجا</t>
  </si>
  <si>
    <t>الأبعاد القيمية وترسيخها من خلال صور الكتاب المدرسي -الخامسة ابتدائي أنموذجا-</t>
  </si>
  <si>
    <t>مؤشرات اكتشاف الذكاءات المتعددة لدى المتعلمين وأثرها في مخرجات التعلم</t>
  </si>
  <si>
    <t xml:space="preserve">  فاعليّة خرائط المفاهيم في تنمية مهارات التّفكير لدى تلاميذ الأولى متوسط</t>
  </si>
  <si>
    <t xml:space="preserve">  أثر الأسئلة السابرة في التّحصيل الدّراسي لتلاميذ الأولى متوسّط في نشاط القواعد</t>
  </si>
  <si>
    <t>الألعاب القرائية والكتابية في التعليم التحضيري وأثرها في تربية الطفل</t>
  </si>
  <si>
    <t>بين الوضعية الادماجية في ظلّ المقاربة بالكفاءات والتمارين اللّغوية في ظلّ المقاربة بالأهداف - الرابعة ابتدائي أنموذجا</t>
  </si>
  <si>
    <t xml:space="preserve">معجم مصطلحات التعليمية في المدونة العربية - أحمد حساني وصالح بلعيد أنموذحا </t>
  </si>
  <si>
    <t>بلقاسم حسيني</t>
  </si>
  <si>
    <t>الأبعاد التعليمية لأدب الطفل - المسرح المدرسي أنموذجا -</t>
  </si>
  <si>
    <t>الموسم الجامعي : 2023/2024</t>
  </si>
  <si>
    <t>/2024</t>
  </si>
  <si>
    <t>لزرق  ايمان رانية</t>
  </si>
  <si>
    <t>قانة فتيحة</t>
  </si>
  <si>
    <t>بوجلال عائشة</t>
  </si>
  <si>
    <t>طواهرية خديجة</t>
  </si>
  <si>
    <t>مصطفى مخطارية</t>
  </si>
  <si>
    <t>مروة مكاوي</t>
  </si>
  <si>
    <t>حكيمة ماموني</t>
  </si>
  <si>
    <t>طالب فراح</t>
  </si>
  <si>
    <t>عبدلي إلهام</t>
  </si>
  <si>
    <t>ميلودي هوارية</t>
  </si>
  <si>
    <t>داودي أمينة</t>
  </si>
  <si>
    <t>ميساوي فتيحة</t>
  </si>
  <si>
    <t>يكتل عبد الكريم</t>
  </si>
  <si>
    <t>هاشمي كريم</t>
  </si>
  <si>
    <t>زدامي عبد الله</t>
  </si>
  <si>
    <t>لععراشي حاج</t>
  </si>
  <si>
    <t>بن صحراوي مسعود</t>
  </si>
  <si>
    <t>عمالو محمج أمين</t>
  </si>
  <si>
    <t>الطيب محمد سعيد</t>
  </si>
  <si>
    <t>خروبي أسماء</t>
  </si>
  <si>
    <t>تيهال منال</t>
  </si>
  <si>
    <t>عشاب ليلى</t>
  </si>
  <si>
    <t>جهيدر منى</t>
  </si>
  <si>
    <t>شيماء طيبي</t>
  </si>
  <si>
    <t>منتصر زرقة</t>
  </si>
  <si>
    <t>عبد الله ميموني</t>
  </si>
  <si>
    <t>بلعجال أسماء</t>
  </si>
  <si>
    <t>ميخوتي اكرام</t>
  </si>
  <si>
    <t>بوكاني عبد الرحمان</t>
  </si>
  <si>
    <t>علاوي صلاح الدين</t>
  </si>
  <si>
    <t>مسلم ايمان</t>
  </si>
  <si>
    <t>قواسم فاطمة الزهراء</t>
  </si>
  <si>
    <t>معاليم نورة</t>
  </si>
  <si>
    <t>قولالي سمية</t>
  </si>
  <si>
    <t>ناصر خيرة</t>
  </si>
  <si>
    <t>بن زينب مسعودة</t>
  </si>
  <si>
    <t>شادولي سيهام</t>
  </si>
  <si>
    <t>علول فاطمة الزهراء</t>
  </si>
  <si>
    <t>كصار  عبد العزيز</t>
  </si>
  <si>
    <t>قيايدة فايزة</t>
  </si>
  <si>
    <t>حمزاوي الهام</t>
  </si>
  <si>
    <t>كنتور مليكة</t>
  </si>
  <si>
    <t>دوبة فاطيمة</t>
  </si>
  <si>
    <t>توني حليمة</t>
  </si>
  <si>
    <t>أسيا لشلح</t>
  </si>
  <si>
    <t>بدوي  فاطيمة</t>
  </si>
  <si>
    <t>بلمداني عبد الهادي</t>
  </si>
  <si>
    <t xml:space="preserve">بالول أحمد </t>
  </si>
  <si>
    <t>عابد عبد الجليل</t>
  </si>
  <si>
    <t>بوسنة رزيقة</t>
  </si>
  <si>
    <t>مصطفاوي مختارية</t>
  </si>
  <si>
    <t>لسانيات</t>
  </si>
  <si>
    <t>تعليمية</t>
  </si>
  <si>
    <t>أدب</t>
  </si>
  <si>
    <t>نقد</t>
  </si>
  <si>
    <t>جمال صالحي</t>
  </si>
  <si>
    <t>مج</t>
  </si>
  <si>
    <t>خيثور خديجة</t>
  </si>
  <si>
    <t>آيت قنون فاطيمة</t>
  </si>
  <si>
    <t>تجليات البحث البلاغي في كتاب معاني القرآن للفراء (207هـ) قراءة في الجزء الأوّل</t>
  </si>
  <si>
    <t>مقاديم سعاد</t>
  </si>
  <si>
    <t>زيادي فاطمة زهرة</t>
  </si>
  <si>
    <t>ناجم أمال</t>
  </si>
  <si>
    <t>لحمر خديجة</t>
  </si>
  <si>
    <t>غول أحلام</t>
  </si>
  <si>
    <t>محمودي ماريا</t>
  </si>
  <si>
    <t>زياني أميرة ناريمان</t>
  </si>
  <si>
    <t>رابح نور الهدى</t>
  </si>
  <si>
    <t>بن فراحة خيرة</t>
  </si>
  <si>
    <t>بوزياني عائشة</t>
  </si>
  <si>
    <t>بومدين أمينة</t>
  </si>
  <si>
    <t>مناد أحلام</t>
  </si>
  <si>
    <t>ياسيني نصيرة</t>
  </si>
  <si>
    <t>مداح منال</t>
  </si>
  <si>
    <t>قاسيمي الحسني يسرى</t>
  </si>
  <si>
    <t>قصاب إكرام</t>
  </si>
  <si>
    <t>فاطمي جلول</t>
  </si>
  <si>
    <t>بن حامد أمينة</t>
  </si>
  <si>
    <t>درقاوي وئام</t>
  </si>
  <si>
    <t>بن طراد العيد</t>
  </si>
  <si>
    <t>بن قراد أحمد</t>
  </si>
  <si>
    <t>التغير الدلالي للألفاظ وأثره في المعنى سورة الرحمان أنموذجا</t>
  </si>
  <si>
    <t>بوجمعة هاجر</t>
  </si>
  <si>
    <t>نونة كريمة</t>
  </si>
  <si>
    <t>لزعر محمد</t>
  </si>
  <si>
    <t>الوظيفة التواصلية في سورة القمر وأثرها الإبلاغ</t>
  </si>
  <si>
    <t>بن ماحية مامة</t>
  </si>
  <si>
    <t>بحرية منال</t>
  </si>
  <si>
    <t>واضح حسيبة</t>
  </si>
  <si>
    <t>بن جامعة ميمونة</t>
  </si>
  <si>
    <t>دلالة التربية الروحية في القرآن الكريم ( سورة لقمان أنموذجا )</t>
  </si>
  <si>
    <t>عبد الصمد بن فريحة</t>
  </si>
  <si>
    <t>احميدة مدني</t>
  </si>
  <si>
    <t>//</t>
  </si>
  <si>
    <t>السنة الثانية ماستر لسانيات الخطاب 2024/2023</t>
  </si>
  <si>
    <t>الفوج1</t>
  </si>
  <si>
    <t>اللقب</t>
  </si>
  <si>
    <t>الإسم</t>
  </si>
  <si>
    <t>البحث</t>
  </si>
  <si>
    <t>الملاحظة</t>
  </si>
  <si>
    <t>الحالة</t>
  </si>
  <si>
    <t>عابدي</t>
  </si>
  <si>
    <t>محمد</t>
  </si>
  <si>
    <t>لم يسند إليه موضوع الأطروحة</t>
  </si>
  <si>
    <t>عابد</t>
  </si>
  <si>
    <t>عبد الجليل</t>
  </si>
  <si>
    <t>مسند إليه موضوع الاطروحة</t>
  </si>
  <si>
    <t>ايت قنون</t>
  </si>
  <si>
    <t>فاطيمة</t>
  </si>
  <si>
    <t>بحرية</t>
  </si>
  <si>
    <t>منال</t>
  </si>
  <si>
    <t>بلهواري</t>
  </si>
  <si>
    <t>مامة</t>
  </si>
  <si>
    <t>بن جامعة</t>
  </si>
  <si>
    <t>ميمونة</t>
  </si>
  <si>
    <t>بن فراحة</t>
  </si>
  <si>
    <t>خيرة</t>
  </si>
  <si>
    <t>بن قراد</t>
  </si>
  <si>
    <t>أحمد</t>
  </si>
  <si>
    <t>بن حامد</t>
  </si>
  <si>
    <t>أمينة</t>
  </si>
  <si>
    <t>بن ماحية</t>
  </si>
  <si>
    <t>بن سعدي</t>
  </si>
  <si>
    <t>سعاد</t>
  </si>
  <si>
    <t>بن طراد</t>
  </si>
  <si>
    <t>العيد</t>
  </si>
  <si>
    <t>بوجمعة</t>
  </si>
  <si>
    <t>هاجر</t>
  </si>
  <si>
    <t>بوحمار</t>
  </si>
  <si>
    <t>عائشة حنان</t>
  </si>
  <si>
    <t>بومدين</t>
  </si>
  <si>
    <t>بوسنة</t>
  </si>
  <si>
    <t>رزيقة</t>
  </si>
  <si>
    <t>بوزياني</t>
  </si>
  <si>
    <t>عائشة</t>
  </si>
  <si>
    <t>درقاوي</t>
  </si>
  <si>
    <t>وئام</t>
  </si>
  <si>
    <t>فاطمي</t>
  </si>
  <si>
    <t>جلول</t>
  </si>
  <si>
    <t>غول</t>
  </si>
  <si>
    <t>احلام</t>
  </si>
  <si>
    <t>قصاب</t>
  </si>
  <si>
    <t>إكرام</t>
  </si>
  <si>
    <t>حطاب</t>
  </si>
  <si>
    <t>مختار</t>
  </si>
  <si>
    <t>قاسيمي الحسني</t>
  </si>
  <si>
    <t>يسرى</t>
  </si>
  <si>
    <t>خيثور</t>
  </si>
  <si>
    <t>خديجة</t>
  </si>
  <si>
    <t>لحمر</t>
  </si>
  <si>
    <t>لزعر</t>
  </si>
  <si>
    <t>معراجي</t>
  </si>
  <si>
    <t>محمد عبد القادر</t>
  </si>
  <si>
    <t>مداح</t>
  </si>
  <si>
    <t>مقاديم</t>
  </si>
  <si>
    <t>مناد</t>
  </si>
  <si>
    <t>أحلام</t>
  </si>
  <si>
    <t>مصطفاوي</t>
  </si>
  <si>
    <t>مختارية</t>
  </si>
  <si>
    <t>ناجم</t>
  </si>
  <si>
    <t>امال</t>
  </si>
  <si>
    <t>نونة</t>
  </si>
  <si>
    <t>كريمة</t>
  </si>
  <si>
    <t>واضح</t>
  </si>
  <si>
    <t>حسيبة</t>
  </si>
  <si>
    <t>رابح</t>
  </si>
  <si>
    <t>نور الهدى</t>
  </si>
  <si>
    <t>سنوسي</t>
  </si>
  <si>
    <t>عبد الرحمان</t>
  </si>
  <si>
    <t>طاهر</t>
  </si>
  <si>
    <t>زهير</t>
  </si>
  <si>
    <t>محمودي</t>
  </si>
  <si>
    <t>ماريا</t>
  </si>
  <si>
    <t>ياسيني</t>
  </si>
  <si>
    <t>نصيرة</t>
  </si>
  <si>
    <t>زيادي</t>
  </si>
  <si>
    <t>فاطمة زهرة</t>
  </si>
  <si>
    <t>قنطار</t>
  </si>
  <si>
    <t>عبير</t>
  </si>
  <si>
    <t>زياني</t>
  </si>
  <si>
    <t>اميرة نريمان</t>
  </si>
  <si>
    <t xml:space="preserve">  تجلّيات الحجاج في رسائل الحسن البصري إلى الخليفة عمر بن عبد العزيز (رسالة الإمام العادل أنموذجا)</t>
  </si>
  <si>
    <t xml:space="preserve">  آليات التّلوين الصّوتي وأثرها في إنتاج الدّلالة (دراسة في سورة التّوبة)</t>
  </si>
  <si>
    <t>التلوث اللساني في خطاب المقالات العلمية المنشورة باللغة العربية مقاربة تحليلية لمحتوى المنصة الجزائرية للمجلات العلمية (Asjp) مجلة فصل الخطاب منذ تصنيفها 
مجلة فصل الخطاب منذ تصنيفها</t>
  </si>
  <si>
    <t>الصراع الفكري في الخطابات الثنائية وأساليبه الإقناعية - دراسة نماذج قرآنية</t>
  </si>
  <si>
    <t xml:space="preserve">الروابط النصية في مدونة وحي القلم للرافعي  - نماذج من النثريات الموجودة في الكتاب </t>
  </si>
  <si>
    <t>بوهنوش  فاطمة</t>
  </si>
  <si>
    <t xml:space="preserve">مظاهر الوصفية في التفكير النحوي وعلاقتها بالدرس اللغوي الحديث </t>
  </si>
  <si>
    <t xml:space="preserve">خطاب الاضمار في اسلوب التقدير الاسمي ودلالته في القران الكريم ( قراءة في كتاب معاني القرآن للاخفش الاوسط انموذجا ) </t>
  </si>
  <si>
    <t>أشكال التداخل الصرفي في القراءات القرآنية - دراسة في بنية الأفعال -</t>
  </si>
  <si>
    <t>بالول أحمد</t>
  </si>
  <si>
    <t xml:space="preserve">جهود اللغويين المحدثين في إبراز مظاهر الإعجاز اللغوي في القرآن الكريم </t>
  </si>
  <si>
    <t>مظاهر التأويل الصوفي في كتب تفسير القرآن تفسير البحر المديد انموذجا</t>
  </si>
  <si>
    <t>٣. الدلالة التركيبية في سورة آل عمران وأثرها في السياق القرآني</t>
  </si>
  <si>
    <t>جهود علماء الجزائر في تسيير الدرس النحوي/اختيار نموذج.</t>
  </si>
  <si>
    <t>بلحسين محمد</t>
  </si>
  <si>
    <t>صيغة افعل في القرآن الكريم/دراسة صرفية دلالية.اختيار سورة </t>
  </si>
  <si>
    <t>أثر علم الكلام ( في الدرس النحوي العربي ) بين التقعيد والتعقيد.</t>
  </si>
  <si>
    <t>دلالة المحكَم والمتشابِه في القرآن الكريم من خلال نماذج مختارة</t>
  </si>
  <si>
    <t>بن فريحة عبد الصّمد</t>
  </si>
  <si>
    <t>البعد الدّلالي للتقديم والتأخير في القرآن الكريم من خلال نماذج مختارة</t>
  </si>
  <si>
    <t>دلالة الفصل والوصل مواضعه ومحسناته</t>
  </si>
  <si>
    <t>دلالة المشترك اللفظي والتضاد</t>
  </si>
  <si>
    <t xml:space="preserve">المشترك اللفظي عند القدامى والمحدثين غايته وفائدته موقف العلماء من وجوده </t>
  </si>
  <si>
    <t>جهود العرب المحدثين في اللسانيات العرفانية.</t>
  </si>
  <si>
    <t>خطابات المقاومة في غزة دراسة تداولية عرفانية لخطابات معركة طوفان الأقصى</t>
  </si>
  <si>
    <t>تطوّر الدّرس اللغوي من البِنيوية إلى التّوليدية التّحويلية</t>
  </si>
  <si>
    <t xml:space="preserve">رهانات الترجمة الأدبيّة وخيار الذكاء الاِصطناعي </t>
  </si>
  <si>
    <t>جهود بلومفيلد وهاريس في تطوير المدرسة التّوزيعيّة وتطبيقاتها في الدّرس اللّساني العربي</t>
  </si>
  <si>
    <t>زمام نبيلة</t>
  </si>
  <si>
    <t>عياد آمال</t>
  </si>
  <si>
    <t>طيبي نعيمة</t>
  </si>
  <si>
    <t>بن سحنون عابد</t>
  </si>
  <si>
    <t>عبد الهادي جمال الدين</t>
  </si>
  <si>
    <t>طاهر زهير</t>
  </si>
  <si>
    <t>دروش ناصر</t>
  </si>
  <si>
    <t>لغة الخطاب التواصلي في الجامعة الجزائرية قسم اللغة والأدب العربي أنموذجا</t>
  </si>
  <si>
    <t>التلوث اللساني في خطاب المقالات العلمية المنشورة في مجلة فصل الخطاب نماذج مختارة</t>
  </si>
  <si>
    <t>( قراءة في مختارات من ديوان الخنساءعلى ضوء المنهج النفسي</t>
  </si>
  <si>
    <t xml:space="preserve">إشكالية الكتابة النسوية في النقد العربي المعاصر بحث عن الذات أم تأسيس للمركز </t>
  </si>
  <si>
    <t xml:space="preserve">سؤال المنهج في الفكر النقدي العربي المعاصر عبد الملك مرتاض </t>
  </si>
  <si>
    <t>شعرية النوستالجيا (الحنين).من قراءة الحنين إلى قراءة المشاهدة.نماذج من الشعر المعاصر</t>
  </si>
  <si>
    <t>فلسفة الفقر في كتاب المساكين - لمصطفى صادق الرافعي -</t>
  </si>
  <si>
    <t xml:space="preserve">تهافت الأنساق في نقد ما بعدالحداثة - قراءة في بعض النماذج النقدية </t>
  </si>
  <si>
    <t xml:space="preserve">قراءة فنية في ديوان بوح الشجون بلسان الملحون للشاعر أحمد بوزيان </t>
  </si>
  <si>
    <t xml:space="preserve">فن الترسل في التراث العربي - البنيات و الأشكال </t>
  </si>
  <si>
    <t>فن الترسل في الأدب العربي الحديث - دراسة أجناسية</t>
  </si>
  <si>
    <t>أدب الترسل الأنثوي في الأدب العربي الحديث- بين التصريح و التلميح</t>
  </si>
  <si>
    <t>نظرية التناص المقارن عند عز الدين المناصرة ، المفهوم والإجراء</t>
  </si>
  <si>
    <t>القصيدة الصوفية وظاهرة التوسع الدلالي شعر ابن الفارض أنموذجا</t>
  </si>
  <si>
    <t>فلسفة المكان والزمان في الشعر الجاهلي، البكائية الطللية أنموذجا</t>
  </si>
  <si>
    <t>أثر البنية في المصطلح النقدي العربي القديم مقاربة في المصطلحات النقدية</t>
  </si>
  <si>
    <t>نظرية النقد القديم في كتابات المعاصرين</t>
  </si>
  <si>
    <t>حجاجية الإيقاع في شعر الثورة عند سميح القاسم</t>
  </si>
  <si>
    <t>زمام سمراء</t>
  </si>
  <si>
    <t>رواب فاطمية الزهرة</t>
  </si>
  <si>
    <t>بلاق أسماء</t>
  </si>
  <si>
    <t xml:space="preserve">بن زهرة سهام </t>
  </si>
  <si>
    <t xml:space="preserve">جراد رشيدة </t>
  </si>
  <si>
    <t xml:space="preserve">بلطرش صبرينة </t>
  </si>
  <si>
    <t>بن علي لامية</t>
  </si>
  <si>
    <t>بولعروق سعيدة</t>
  </si>
  <si>
    <t>بلقاسم شمس الدين</t>
  </si>
  <si>
    <t>///</t>
  </si>
  <si>
    <t xml:space="preserve">بن تيجيني لهام </t>
  </si>
  <si>
    <t>زريق نوال</t>
  </si>
  <si>
    <t>جدلة امحمد</t>
  </si>
  <si>
    <t>حكوم فاطمية الزهراء</t>
  </si>
  <si>
    <t>فرحات علال</t>
  </si>
  <si>
    <t>زوبيدة جهيدة</t>
  </si>
  <si>
    <t>حدو نفيسة</t>
  </si>
  <si>
    <t>عماري ياسمين</t>
  </si>
  <si>
    <t>سوسي زهرة</t>
  </si>
  <si>
    <t>بوشنافة شيماء</t>
  </si>
  <si>
    <t xml:space="preserve">فاطمي أمينة </t>
  </si>
  <si>
    <t>رحماني وهيبة</t>
  </si>
  <si>
    <t xml:space="preserve">شوشلة حورية </t>
  </si>
  <si>
    <t>رحماني سعيدة</t>
  </si>
  <si>
    <t>عدة سناء</t>
  </si>
  <si>
    <t xml:space="preserve">داودي بدر الدين </t>
  </si>
  <si>
    <t xml:space="preserve">بن يمينة رشيدة </t>
  </si>
  <si>
    <t xml:space="preserve">عسري كريمة </t>
  </si>
  <si>
    <t>كركرة نجاة</t>
  </si>
  <si>
    <t>بوزيدي محمد</t>
  </si>
  <si>
    <t xml:space="preserve">مهيدي منصور </t>
  </si>
  <si>
    <t>دبيح محمد</t>
  </si>
  <si>
    <t>رشيد بن يمينة</t>
  </si>
  <si>
    <t xml:space="preserve">بلمهل ع الهادي </t>
  </si>
  <si>
    <t>بوزيان أحمد</t>
  </si>
  <si>
    <t xml:space="preserve">بوشريحة ابراهيم </t>
  </si>
  <si>
    <t>تركي أمحمد</t>
  </si>
  <si>
    <t xml:space="preserve"> بلمهل عبد الهادي</t>
  </si>
  <si>
    <t>مداني علي</t>
  </si>
  <si>
    <t xml:space="preserve">  شعرية المعراج الصوفي  القشيري انموذجا</t>
  </si>
  <si>
    <t xml:space="preserve">  جمالية اللغة الشعرية في الحكم العطائية.</t>
  </si>
  <si>
    <t xml:space="preserve">  الشعر والتصوف بين التداخل والانفصال.</t>
  </si>
  <si>
    <t>مرجعيات المتخيل الشعري في شعر "عبد الله حمادي"</t>
  </si>
  <si>
    <t>حضور المرأة الصوفية في الرواية الجوائرية المعاصرة  اِختيار نموذج</t>
  </si>
  <si>
    <t xml:space="preserve">التيمات الدلالية في روايات دان براون </t>
  </si>
  <si>
    <t>توظيف الخطاب الديني في الشعر الحديث. الجواهري أنموذجا</t>
  </si>
  <si>
    <r>
      <rPr>
        <b/>
        <sz val="9"/>
        <rFont val="Traditional Floral Design II"/>
      </rPr>
      <t>صورة الآخر في الرحلة الجزائريةالمعاصرة "جنائن الشرق الملتهبة رحلة في بلاد الصقالبة" ل سعيدخطيبي أنموذجا</t>
    </r>
    <r>
      <rPr>
        <b/>
        <sz val="12"/>
        <rFont val="Traditional Floral Design II"/>
      </rPr>
      <t xml:space="preserve"> </t>
    </r>
  </si>
  <si>
    <t>تداخل الاجناس الأدبية في أدب الرحلة "رحلة ابن حمادوش "أنموذجا</t>
  </si>
  <si>
    <t>التجريب في رواية هوس لحميدة العياشي</t>
  </si>
  <si>
    <t>البنية السردية لرواية زمن القلب لمحمد العالي عرعار</t>
  </si>
  <si>
    <t>الشخصية التراثية في المسرح الجزائري الحديث (ولد عبد الرحمن كاكي أنموذجا)</t>
  </si>
  <si>
    <t xml:space="preserve"> صورة فلسطين في ألمانيا بالعربي الموجه للطفل -الهوية و الانتماء </t>
  </si>
  <si>
    <t xml:space="preserve"> الابعاد الفنية في أدب الاطفال عند خديجة  /مقاربة في الرؤيا و التشكيل  </t>
  </si>
  <si>
    <t>ثنائية الألم والأمل عند الطفل الفلسطيني من خلال أعمال خديجة حيدورة </t>
  </si>
  <si>
    <t xml:space="preserve">الانساق المعرفية والمرجعيات الثقافية في رواية " أنا وحاييم" الحبيب السايح  </t>
  </si>
  <si>
    <t>جمالية التشكيل المشهدي في الشعر العربي المعاصر مقاربة أسلومشهدية</t>
  </si>
  <si>
    <t>المثقف والصراع الإيديولوجي في روايات بشير مفتي</t>
  </si>
  <si>
    <t>هامشية المثقف ورهانات السّلطة في الرواية الجزائرية قراءة في رواية قصيد في التذلل لطاهر وطار</t>
  </si>
  <si>
    <t>البنيات الأسطورية في الشعر العربي الحديث السياب أنموذجا</t>
  </si>
  <si>
    <t>بوزيد الخادم</t>
  </si>
  <si>
    <t xml:space="preserve">فرفار زينب </t>
  </si>
  <si>
    <t>زهار لبنى حليمة</t>
  </si>
  <si>
    <t>جبور بشرى</t>
  </si>
  <si>
    <t>شمبة زينب</t>
  </si>
  <si>
    <t>كنتور مخطارية</t>
  </si>
  <si>
    <t>يحي مونية</t>
  </si>
  <si>
    <t>مناد لطيفة</t>
  </si>
  <si>
    <t>بوشعيب زهية</t>
  </si>
  <si>
    <t>زيتوني سعدية</t>
  </si>
  <si>
    <t>رمضاني جميلة</t>
  </si>
  <si>
    <t xml:space="preserve">بلحمري زهرة </t>
  </si>
  <si>
    <t>كراكرية مليكة</t>
  </si>
  <si>
    <t>دين رزنية</t>
  </si>
  <si>
    <t>قادري إكرام</t>
  </si>
  <si>
    <t>عامري معزوزة</t>
  </si>
  <si>
    <t>سهايلية عبد المالك</t>
  </si>
  <si>
    <t>قصير مروى</t>
  </si>
  <si>
    <t>قلولة كريمة</t>
  </si>
  <si>
    <t>يوسف نصيرة</t>
  </si>
  <si>
    <t>رايس روميساء</t>
  </si>
  <si>
    <t>بوجلطي إكرام</t>
  </si>
  <si>
    <t>شنافة مريم</t>
  </si>
  <si>
    <t>كاري إيمان</t>
  </si>
  <si>
    <t>موسى سميرة</t>
  </si>
  <si>
    <t>بن عيسى حنان</t>
  </si>
  <si>
    <t>بن حوس أسماء</t>
  </si>
  <si>
    <t>لعلى حنان</t>
  </si>
  <si>
    <t>بوعمرة دليلة</t>
  </si>
  <si>
    <t>بن عبيد سمرة</t>
  </si>
  <si>
    <t>دحو فاطمة</t>
  </si>
  <si>
    <t>عابد فاطمة الوهرة</t>
  </si>
  <si>
    <t>قدور عائشة</t>
  </si>
  <si>
    <t>قداري ماجدة حليمة</t>
  </si>
  <si>
    <t xml:space="preserve">عمران إيمان </t>
  </si>
  <si>
    <t>عوف كوثر</t>
  </si>
  <si>
    <t>مقران إيمان</t>
  </si>
  <si>
    <t>سعيدات الحاجة عودة</t>
  </si>
  <si>
    <t>لدرع بشرى</t>
  </si>
  <si>
    <t xml:space="preserve">جمال صالحي </t>
  </si>
  <si>
    <t>محمد مزيلط</t>
  </si>
  <si>
    <t>جمال الدين عبد الهادي</t>
  </si>
  <si>
    <t>شريط رابج</t>
  </si>
  <si>
    <t xml:space="preserve">بلعجين سفيان </t>
  </si>
  <si>
    <t xml:space="preserve">شريفي فاطمة </t>
  </si>
  <si>
    <t xml:space="preserve">كبريت علي </t>
  </si>
  <si>
    <t xml:space="preserve">شريط رابح </t>
  </si>
  <si>
    <t>معازيز أبوبكر</t>
  </si>
  <si>
    <t xml:space="preserve">حاج علي ليلى </t>
  </si>
  <si>
    <t xml:space="preserve">سعيد بلعربي لخضر </t>
  </si>
  <si>
    <t xml:space="preserve">موازبي ربيع </t>
  </si>
  <si>
    <t>جمال الين عبد الهادي</t>
  </si>
  <si>
    <t>بلمسعود قدور</t>
  </si>
  <si>
    <t>بولحراص محمد</t>
  </si>
  <si>
    <t xml:space="preserve">بولخراص محمد </t>
  </si>
  <si>
    <t xml:space="preserve">عطاء الله التاصر </t>
  </si>
  <si>
    <t xml:space="preserve">بلكحل العالية </t>
  </si>
  <si>
    <t xml:space="preserve">مكيكة محمد جواد </t>
  </si>
  <si>
    <t xml:space="preserve">باقل دنيا </t>
  </si>
  <si>
    <t>عطاء الله الناصر</t>
  </si>
  <si>
    <t>بلكحل العالية</t>
  </si>
  <si>
    <t>عرابي غالية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</si>
</sst>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[$-1170401]B2dddd\,\ dd\ mmmm\,\ yyyy;@"/>
    <numFmt numFmtId="166" formatCode="[$-F800]dddd\,\ mmmm\ dd\,\ yyyy"/>
    <numFmt numFmtId="167" formatCode="[$-1000409]h:mm\ AM/PM;@"/>
  </numFmts>
  <fonts count="41">
    <font>
      <sz val="11"/>
      <color theme="1"/>
      <name val="Calibri"/>
      <family val="2"/>
      <scheme val="minor"/>
    </font>
    <font>
      <sz val="12"/>
      <name val="Sakkal Majalla"/>
    </font>
    <font>
      <b/>
      <sz val="12"/>
      <name val="Sakkal Majalla"/>
    </font>
    <font>
      <b/>
      <sz val="22"/>
      <color theme="1"/>
      <name val="Calibri"/>
      <family val="2"/>
      <scheme val="minor"/>
    </font>
    <font>
      <b/>
      <sz val="16"/>
      <color theme="1"/>
      <name val="Arabic Typesetting"/>
      <family val="4"/>
    </font>
    <font>
      <sz val="14"/>
      <color theme="1"/>
      <name val="Arabic Typesetting"/>
      <family val="4"/>
    </font>
    <font>
      <b/>
      <sz val="14"/>
      <color theme="1"/>
      <name val="Arabic Typesetting"/>
      <family val="4"/>
    </font>
    <font>
      <b/>
      <sz val="20"/>
      <color theme="1"/>
      <name val="Arabic Typesetting"/>
      <family val="4"/>
    </font>
    <font>
      <b/>
      <sz val="18"/>
      <color theme="1"/>
      <name val="Arabic Typesetting"/>
      <family val="4"/>
    </font>
    <font>
      <b/>
      <sz val="22"/>
      <color theme="1"/>
      <name val="Arabic Typesetting"/>
      <family val="4"/>
    </font>
    <font>
      <sz val="16"/>
      <color theme="1"/>
      <name val="Arabic Typesetting"/>
      <family val="4"/>
    </font>
    <font>
      <b/>
      <sz val="14"/>
      <name val="Traditional Arabic"/>
      <family val="1"/>
    </font>
    <font>
      <b/>
      <sz val="14"/>
      <name val="Sakkal Majalla"/>
    </font>
    <font>
      <b/>
      <sz val="36"/>
      <color theme="1"/>
      <name val="Arabic Typesetting"/>
      <family val="4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name val="Arabic Typesetting"/>
      <family val="4"/>
    </font>
    <font>
      <b/>
      <sz val="18"/>
      <name val="Arabic Typesetting"/>
      <family val="4"/>
    </font>
    <font>
      <b/>
      <sz val="22"/>
      <color rgb="FFFF0000"/>
      <name val="Calibri"/>
      <family val="2"/>
      <scheme val="minor"/>
    </font>
    <font>
      <b/>
      <sz val="22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Traditional Arabic"/>
      <family val="1"/>
    </font>
    <font>
      <sz val="18"/>
      <name val="Calibri"/>
      <family val="2"/>
      <scheme val="minor"/>
    </font>
    <font>
      <b/>
      <sz val="12"/>
      <name val="Traditional Arabic"/>
      <family val="1"/>
    </font>
    <font>
      <b/>
      <sz val="14"/>
      <color rgb="FF0070C0"/>
      <name val="Traditional Arabic"/>
      <family val="1"/>
    </font>
    <font>
      <b/>
      <sz val="18"/>
      <color rgb="FFFF0000"/>
      <name val="Traditional Arabic"/>
      <family val="1"/>
    </font>
    <font>
      <b/>
      <sz val="12"/>
      <color rgb="FF0070C0"/>
      <name val="Traditional Arabic"/>
      <family val="1"/>
    </font>
    <font>
      <b/>
      <sz val="14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name val="Arabic Typesetting"/>
      <family val="4"/>
    </font>
    <font>
      <b/>
      <sz val="18"/>
      <color theme="1"/>
      <name val="Arabic Typesetting"/>
      <family val="4"/>
    </font>
    <font>
      <b/>
      <sz val="12"/>
      <name val="Traditional Floral Design II"/>
    </font>
    <font>
      <b/>
      <sz val="9"/>
      <name val="Traditional Floral Design II"/>
    </font>
  </fonts>
  <fills count="10">
    <fill>
      <patternFill patternType="none"/>
    </fill>
    <fill>
      <patternFill patternType="gray125"/>
    </fill>
    <fill>
      <patternFill patternType="solid">
        <fgColor indexed="65"/>
        <bgColor theme="1" tint="0.49998474074526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left"/>
    </xf>
    <xf numFmtId="0" fontId="4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8" fillId="0" borderId="0" xfId="0" applyFont="1"/>
    <xf numFmtId="0" fontId="10" fillId="0" borderId="1" xfId="0" applyFont="1" applyBorder="1"/>
    <xf numFmtId="0" fontId="10" fillId="0" borderId="0" xfId="0" applyFont="1"/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center"/>
    </xf>
    <xf numFmtId="14" fontId="4" fillId="0" borderId="0" xfId="0" applyNumberFormat="1" applyFont="1"/>
    <xf numFmtId="0" fontId="7" fillId="0" borderId="0" xfId="0" applyFont="1"/>
    <xf numFmtId="0" fontId="11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/>
    </xf>
    <xf numFmtId="0" fontId="14" fillId="0" borderId="0" xfId="0" applyFont="1"/>
    <xf numFmtId="164" fontId="15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right" readingOrder="2"/>
    </xf>
    <xf numFmtId="0" fontId="2" fillId="0" borderId="1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9" fillId="0" borderId="0" xfId="0" applyFont="1"/>
    <xf numFmtId="0" fontId="16" fillId="0" borderId="0" xfId="0" applyFont="1"/>
    <xf numFmtId="0" fontId="20" fillId="0" borderId="0" xfId="0" applyFont="1"/>
    <xf numFmtId="0" fontId="18" fillId="0" borderId="1" xfId="0" applyFont="1" applyBorder="1" applyAlignment="1">
      <alignment horizontal="center" vertical="center"/>
    </xf>
    <xf numFmtId="0" fontId="21" fillId="0" borderId="0" xfId="0" applyFont="1"/>
    <xf numFmtId="164" fontId="23" fillId="0" borderId="1" xfId="0" applyNumberFormat="1" applyFont="1" applyBorder="1" applyAlignment="1">
      <alignment horizontal="center"/>
    </xf>
    <xf numFmtId="0" fontId="11" fillId="0" borderId="24" xfId="0" applyFont="1" applyBorder="1" applyAlignment="1">
      <alignment horizontal="center" vertical="center" readingOrder="2"/>
    </xf>
    <xf numFmtId="0" fontId="25" fillId="0" borderId="1" xfId="0" applyFont="1" applyBorder="1" applyAlignment="1">
      <alignment horizontal="center" vertical="center" readingOrder="2"/>
    </xf>
    <xf numFmtId="0" fontId="26" fillId="0" borderId="1" xfId="0" applyFont="1" applyBorder="1" applyAlignment="1">
      <alignment horizontal="center" vertical="center" readingOrder="2"/>
    </xf>
    <xf numFmtId="0" fontId="24" fillId="0" borderId="19" xfId="0" applyFont="1" applyBorder="1" applyAlignment="1">
      <alignment horizontal="center" vertical="center" readingOrder="2"/>
    </xf>
    <xf numFmtId="0" fontId="24" fillId="0" borderId="24" xfId="0" applyFont="1" applyBorder="1" applyAlignment="1">
      <alignment horizontal="center" vertical="center" readingOrder="2"/>
    </xf>
    <xf numFmtId="0" fontId="22" fillId="0" borderId="24" xfId="0" applyFont="1" applyBorder="1" applyAlignment="1">
      <alignment horizontal="center" vertical="center" readingOrder="2"/>
    </xf>
    <xf numFmtId="0" fontId="17" fillId="0" borderId="1" xfId="0" applyFont="1" applyBorder="1" applyAlignment="1">
      <alignment horizontal="right" wrapText="1" readingOrder="2"/>
    </xf>
    <xf numFmtId="0" fontId="27" fillId="0" borderId="17" xfId="0" applyFont="1" applyBorder="1" applyAlignment="1">
      <alignment horizontal="center" vertical="center" readingOrder="2"/>
    </xf>
    <xf numFmtId="0" fontId="27" fillId="0" borderId="24" xfId="0" applyFont="1" applyBorder="1" applyAlignment="1">
      <alignment horizontal="center" vertical="center" readingOrder="2"/>
    </xf>
    <xf numFmtId="164" fontId="28" fillId="0" borderId="1" xfId="0" applyNumberFormat="1" applyFont="1" applyBorder="1" applyAlignment="1">
      <alignment horizontal="center"/>
    </xf>
    <xf numFmtId="0" fontId="29" fillId="0" borderId="0" xfId="0" applyFont="1"/>
    <xf numFmtId="0" fontId="27" fillId="0" borderId="19" xfId="0" applyFont="1" applyBorder="1" applyAlignment="1">
      <alignment horizontal="center" vertical="center" readingOrder="2"/>
    </xf>
    <xf numFmtId="164" fontId="30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4" fontId="15" fillId="0" borderId="24" xfId="0" applyNumberFormat="1" applyFont="1" applyBorder="1" applyAlignment="1">
      <alignment horizontal="center"/>
    </xf>
    <xf numFmtId="164" fontId="28" fillId="0" borderId="24" xfId="0" applyNumberFormat="1" applyFont="1" applyBorder="1" applyAlignment="1">
      <alignment horizontal="center"/>
    </xf>
    <xf numFmtId="164" fontId="30" fillId="0" borderId="24" xfId="0" applyNumberFormat="1" applyFont="1" applyBorder="1" applyAlignment="1">
      <alignment horizontal="center"/>
    </xf>
    <xf numFmtId="0" fontId="31" fillId="0" borderId="0" xfId="0" applyFont="1"/>
    <xf numFmtId="0" fontId="32" fillId="0" borderId="9" xfId="0" applyFont="1" applyBorder="1"/>
    <xf numFmtId="0" fontId="32" fillId="0" borderId="10" xfId="0" applyFont="1" applyBorder="1"/>
    <xf numFmtId="0" fontId="32" fillId="0" borderId="10" xfId="0" applyFont="1" applyBorder="1" applyAlignment="1">
      <alignment horizontal="center"/>
    </xf>
    <xf numFmtId="0" fontId="33" fillId="0" borderId="12" xfId="0" applyFont="1" applyBorder="1"/>
    <xf numFmtId="0" fontId="33" fillId="0" borderId="1" xfId="0" applyFont="1" applyBorder="1"/>
    <xf numFmtId="0" fontId="34" fillId="0" borderId="13" xfId="0" applyFont="1" applyBorder="1"/>
    <xf numFmtId="0" fontId="35" fillId="0" borderId="13" xfId="0" applyFont="1" applyBorder="1"/>
    <xf numFmtId="0" fontId="33" fillId="0" borderId="14" xfId="0" applyFont="1" applyBorder="1"/>
    <xf numFmtId="0" fontId="33" fillId="0" borderId="15" xfId="0" applyFont="1" applyBorder="1"/>
    <xf numFmtId="0" fontId="35" fillId="0" borderId="16" xfId="0" applyFont="1" applyBorder="1"/>
    <xf numFmtId="0" fontId="33" fillId="0" borderId="0" xfId="0" applyFont="1"/>
    <xf numFmtId="0" fontId="36" fillId="0" borderId="0" xfId="0" applyFont="1"/>
    <xf numFmtId="0" fontId="1" fillId="4" borderId="1" xfId="0" applyFont="1" applyFill="1" applyBorder="1" applyAlignment="1">
      <alignment horizontal="center" vertical="center" wrapText="1" readingOrder="2"/>
    </xf>
    <xf numFmtId="0" fontId="17" fillId="4" borderId="1" xfId="0" applyFont="1" applyFill="1" applyBorder="1" applyAlignment="1">
      <alignment horizontal="right" readingOrder="2"/>
    </xf>
    <xf numFmtId="0" fontId="8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2"/>
    </xf>
    <xf numFmtId="0" fontId="18" fillId="4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right" readingOrder="2"/>
    </xf>
    <xf numFmtId="0" fontId="17" fillId="5" borderId="1" xfId="0" applyFont="1" applyFill="1" applyBorder="1" applyAlignment="1">
      <alignment horizontal="right" readingOrder="2"/>
    </xf>
    <xf numFmtId="0" fontId="11" fillId="6" borderId="1" xfId="0" applyFont="1" applyFill="1" applyBorder="1" applyAlignment="1">
      <alignment horizontal="center" vertical="center" readingOrder="2"/>
    </xf>
    <xf numFmtId="0" fontId="1" fillId="3" borderId="20" xfId="0" applyFont="1" applyFill="1" applyBorder="1" applyAlignment="1">
      <alignment horizontal="center" vertical="center" wrapText="1" readingOrder="2"/>
    </xf>
    <xf numFmtId="0" fontId="1" fillId="7" borderId="20" xfId="0" applyFont="1" applyFill="1" applyBorder="1" applyAlignment="1">
      <alignment horizontal="center" vertical="center" wrapText="1" readingOrder="2"/>
    </xf>
    <xf numFmtId="0" fontId="1" fillId="8" borderId="20" xfId="0" applyFont="1" applyFill="1" applyBorder="1" applyAlignment="1">
      <alignment horizontal="center" vertical="center" wrapText="1" readingOrder="2"/>
    </xf>
    <xf numFmtId="0" fontId="1" fillId="9" borderId="20" xfId="0" applyFont="1" applyFill="1" applyBorder="1" applyAlignment="1">
      <alignment horizontal="center" vertical="center" wrapText="1" readingOrder="2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readingOrder="2"/>
    </xf>
    <xf numFmtId="0" fontId="11" fillId="0" borderId="17" xfId="0" applyFont="1" applyBorder="1" applyAlignment="1">
      <alignment horizontal="center" vertical="center" readingOrder="2"/>
    </xf>
    <xf numFmtId="0" fontId="11" fillId="0" borderId="18" xfId="0" applyFont="1" applyBorder="1" applyAlignment="1">
      <alignment horizontal="center" vertical="center" readingOrder="2"/>
    </xf>
    <xf numFmtId="0" fontId="11" fillId="0" borderId="24" xfId="0" applyFont="1" applyBorder="1" applyAlignment="1">
      <alignment horizontal="center" vertical="center" readingOrder="2"/>
    </xf>
    <xf numFmtId="0" fontId="11" fillId="0" borderId="20" xfId="0" applyFont="1" applyBorder="1" applyAlignment="1">
      <alignment horizontal="center" vertical="center" readingOrder="2"/>
    </xf>
    <xf numFmtId="0" fontId="22" fillId="0" borderId="19" xfId="0" applyFont="1" applyBorder="1" applyAlignment="1">
      <alignment horizontal="center" vertical="center" readingOrder="2"/>
    </xf>
    <xf numFmtId="0" fontId="22" fillId="0" borderId="17" xfId="0" applyFont="1" applyBorder="1" applyAlignment="1">
      <alignment horizontal="center" vertical="center" readingOrder="2"/>
    </xf>
    <xf numFmtId="0" fontId="11" fillId="0" borderId="22" xfId="0" applyFont="1" applyBorder="1" applyAlignment="1">
      <alignment horizontal="center" vertical="center" readingOrder="2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9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7" fillId="0" borderId="3" xfId="0" applyFont="1" applyBorder="1" applyAlignment="1">
      <alignment horizontal="right" readingOrder="2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5" fontId="4" fillId="0" borderId="0" xfId="0" applyNumberFormat="1" applyFont="1" applyAlignment="1">
      <alignment horizontal="left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kkal Majalla"/>
        <scheme val="none"/>
      </font>
      <numFmt numFmtId="167" formatCode="[$-1000409]h:mm\ AM/PM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kkal Majalla"/>
        <scheme val="none"/>
      </font>
      <numFmt numFmtId="166" formatCode="[$-F800]dddd\,\ mmmm\ dd\,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abic Typesetting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abic Typesetting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abic Typesetting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abic Typesetting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abic Typesetting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abic Typesetting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2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abic Typesetting"/>
        <scheme val="none"/>
      </font>
      <fill>
        <patternFill patternType="none">
          <bgColor auto="1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2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104775</xdr:rowOff>
    </xdr:from>
    <xdr:to>
      <xdr:col>2</xdr:col>
      <xdr:colOff>635</xdr:colOff>
      <xdr:row>3</xdr:row>
      <xdr:rowOff>111760</xdr:rowOff>
    </xdr:to>
    <xdr:pic>
      <xdr:nvPicPr>
        <xdr:cNvPr id="3" name="Image 2" descr="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012891265" y="104775"/>
          <a:ext cx="1248410" cy="8928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514350</xdr:colOff>
      <xdr:row>0</xdr:row>
      <xdr:rowOff>133350</xdr:rowOff>
    </xdr:from>
    <xdr:to>
      <xdr:col>6</xdr:col>
      <xdr:colOff>810260</xdr:colOff>
      <xdr:row>3</xdr:row>
      <xdr:rowOff>140335</xdr:rowOff>
    </xdr:to>
    <xdr:pic>
      <xdr:nvPicPr>
        <xdr:cNvPr id="5" name="Image 4" descr="log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008576440" y="133350"/>
          <a:ext cx="1248410" cy="8928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2:O87" totalsRowShown="0" headerRowDxfId="18" dataDxfId="16" headerRowBorderDxfId="17" tableBorderDxfId="15">
  <autoFilter ref="A2:O87" xr:uid="{00000000-0009-0000-0100-000001000000}"/>
  <sortState xmlns:xlrd2="http://schemas.microsoft.com/office/spreadsheetml/2017/richdata2" ref="A3:O87">
    <sortCondition ref="A3:A87"/>
  </sortState>
  <tableColumns count="15">
    <tableColumn id="1" xr3:uid="{00000000-0010-0000-0000-000001000000}" name="الرقم " dataDxfId="14"/>
    <tableColumn id="2" xr3:uid="{00000000-0010-0000-0000-000002000000}" name="الموضوع" dataDxfId="13"/>
    <tableColumn id="3" xr3:uid="{00000000-0010-0000-0000-000003000000}" name="الأستاذ المشرف" dataDxfId="12"/>
    <tableColumn id="4" xr3:uid="{00000000-0010-0000-0000-000004000000}" name="الرتبة" dataDxfId="11"/>
    <tableColumn id="5" xr3:uid="{00000000-0010-0000-0000-000005000000}" name="اسم الطالب الأول" dataDxfId="10"/>
    <tableColumn id="6" xr3:uid="{00000000-0010-0000-0000-000006000000}" name="اسم الطالب الثاني" dataDxfId="9"/>
    <tableColumn id="7" xr3:uid="{00000000-0010-0000-0000-000007000000}" name="رئيس اللجنة" dataDxfId="8"/>
    <tableColumn id="8" xr3:uid="{00000000-0010-0000-0000-000008000000}" name="الرتبة2" dataDxfId="7"/>
    <tableColumn id="9" xr3:uid="{00000000-0010-0000-0000-000009000000}" name="العضو المناقش" dataDxfId="6"/>
    <tableColumn id="10" xr3:uid="{00000000-0010-0000-0000-00000A000000}" name="الرتبة3" dataDxfId="5"/>
    <tableColumn id="11" xr3:uid="{00000000-0010-0000-0000-00000B000000}" name="الشعبة" dataDxfId="4"/>
    <tableColumn id="12" xr3:uid="{00000000-0010-0000-0000-00000C000000}" name="التخصص" dataDxfId="3"/>
    <tableColumn id="13" xr3:uid="{00000000-0010-0000-0000-00000D000000}" name="تاريخ المناقشة" dataDxfId="2"/>
    <tableColumn id="14" xr3:uid="{00000000-0010-0000-0000-00000E000000}" name="التوقيت" dataDxfId="1"/>
    <tableColumn id="15" xr3:uid="{00000000-0010-0000-0000-00000F000000}" name="المكان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87"/>
  <sheetViews>
    <sheetView rightToLeft="1" tabSelected="1" zoomScale="80" zoomScaleNormal="80" workbookViewId="0">
      <selection activeCell="D72" sqref="D72"/>
    </sheetView>
  </sheetViews>
  <sheetFormatPr baseColWidth="10" defaultColWidth="11.42578125" defaultRowHeight="15"/>
  <cols>
    <col min="1" max="1" width="7.85546875" customWidth="1"/>
    <col min="2" max="2" width="103.140625" customWidth="1"/>
    <col min="3" max="3" width="22.140625" customWidth="1"/>
    <col min="4" max="4" width="21.28515625" customWidth="1"/>
    <col min="5" max="5" width="19.85546875" customWidth="1"/>
    <col min="6" max="6" width="18.85546875" customWidth="1"/>
    <col min="7" max="7" width="19.5703125" style="38" customWidth="1"/>
    <col min="8" max="8" width="19.7109375" customWidth="1"/>
    <col min="9" max="9" width="19.140625" style="35" customWidth="1"/>
    <col min="10" max="10" width="21.140625" customWidth="1"/>
    <col min="11" max="11" width="17.140625" customWidth="1"/>
    <col min="12" max="12" width="17.28515625" customWidth="1"/>
    <col min="13" max="13" width="14.140625" customWidth="1"/>
    <col min="14" max="15" width="13.85546875" customWidth="1"/>
  </cols>
  <sheetData>
    <row r="1" spans="1:15" ht="28.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36">
        <v>7</v>
      </c>
      <c r="H1" s="1">
        <v>8</v>
      </c>
      <c r="I1" s="34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</row>
    <row r="2" spans="1:15" s="25" customFormat="1" ht="21.75">
      <c r="A2" s="28" t="s">
        <v>0</v>
      </c>
      <c r="B2" s="29" t="s">
        <v>1</v>
      </c>
      <c r="C2" s="29" t="s">
        <v>2</v>
      </c>
      <c r="D2" s="29" t="s">
        <v>13</v>
      </c>
      <c r="E2" s="29" t="s">
        <v>3</v>
      </c>
      <c r="F2" s="29" t="s">
        <v>4</v>
      </c>
      <c r="G2" s="29" t="s">
        <v>12</v>
      </c>
      <c r="H2" s="29" t="s">
        <v>137</v>
      </c>
      <c r="I2" s="29" t="s">
        <v>14</v>
      </c>
      <c r="J2" s="29" t="s">
        <v>138</v>
      </c>
      <c r="K2" s="29" t="s">
        <v>5</v>
      </c>
      <c r="L2" s="29" t="s">
        <v>6</v>
      </c>
      <c r="M2" s="29" t="s">
        <v>121</v>
      </c>
      <c r="N2" s="29" t="s">
        <v>122</v>
      </c>
      <c r="O2" s="30" t="s">
        <v>123</v>
      </c>
    </row>
    <row r="3" spans="1:15" ht="26.25">
      <c r="A3" s="79">
        <v>11001</v>
      </c>
      <c r="B3" s="31" t="s">
        <v>158</v>
      </c>
      <c r="C3" s="33" t="s">
        <v>134</v>
      </c>
      <c r="D3" s="33" t="s">
        <v>144</v>
      </c>
      <c r="E3" s="33" t="s">
        <v>285</v>
      </c>
      <c r="F3" s="33" t="s">
        <v>290</v>
      </c>
      <c r="G3" s="37" t="s">
        <v>60</v>
      </c>
      <c r="H3" s="33" t="s">
        <v>15</v>
      </c>
      <c r="I3" s="37" t="s">
        <v>407</v>
      </c>
      <c r="J3" s="33" t="s">
        <v>15</v>
      </c>
      <c r="K3" s="27" t="s">
        <v>9</v>
      </c>
      <c r="L3" s="27" t="s">
        <v>10</v>
      </c>
      <c r="M3" s="53"/>
      <c r="N3" s="54"/>
      <c r="O3" s="32"/>
    </row>
    <row r="4" spans="1:15" ht="26.25">
      <c r="A4" s="79">
        <v>11002</v>
      </c>
      <c r="B4" s="31" t="s">
        <v>145</v>
      </c>
      <c r="C4" s="33" t="s">
        <v>48</v>
      </c>
      <c r="D4" s="33" t="s">
        <v>146</v>
      </c>
      <c r="E4" s="33" t="s">
        <v>274</v>
      </c>
      <c r="F4" s="33" t="s">
        <v>290</v>
      </c>
      <c r="G4" s="37" t="s">
        <v>244</v>
      </c>
      <c r="H4" s="33" t="s">
        <v>15</v>
      </c>
      <c r="I4" s="37" t="s">
        <v>289</v>
      </c>
      <c r="J4" s="33" t="s">
        <v>15</v>
      </c>
      <c r="K4" s="27" t="s">
        <v>9</v>
      </c>
      <c r="L4" s="27" t="s">
        <v>10</v>
      </c>
      <c r="M4" s="53"/>
      <c r="N4" s="54"/>
      <c r="O4" s="32"/>
    </row>
    <row r="5" spans="1:15" ht="26.25">
      <c r="A5" s="79">
        <v>11003</v>
      </c>
      <c r="B5" s="31" t="s">
        <v>147</v>
      </c>
      <c r="C5" s="33" t="s">
        <v>48</v>
      </c>
      <c r="D5" s="33" t="s">
        <v>146</v>
      </c>
      <c r="E5" s="33" t="s">
        <v>275</v>
      </c>
      <c r="F5" s="33" t="s">
        <v>290</v>
      </c>
      <c r="G5" s="37" t="s">
        <v>74</v>
      </c>
      <c r="H5" s="33" t="s">
        <v>15</v>
      </c>
      <c r="I5" s="37" t="s">
        <v>408</v>
      </c>
      <c r="J5" s="33" t="s">
        <v>15</v>
      </c>
      <c r="K5" s="27" t="s">
        <v>9</v>
      </c>
      <c r="L5" s="27" t="s">
        <v>10</v>
      </c>
      <c r="M5" s="53"/>
      <c r="N5" s="54"/>
      <c r="O5" s="32"/>
    </row>
    <row r="6" spans="1:15" ht="26.25">
      <c r="A6" s="79">
        <v>11004</v>
      </c>
      <c r="B6" s="31" t="s">
        <v>159</v>
      </c>
      <c r="C6" s="33" t="s">
        <v>48</v>
      </c>
      <c r="D6" s="33" t="s">
        <v>146</v>
      </c>
      <c r="E6" s="33" t="s">
        <v>276</v>
      </c>
      <c r="F6" s="33" t="s">
        <v>277</v>
      </c>
      <c r="G6" s="37" t="s">
        <v>59</v>
      </c>
      <c r="H6" s="33" t="s">
        <v>15</v>
      </c>
      <c r="I6" s="37" t="s">
        <v>55</v>
      </c>
      <c r="J6" s="33" t="s">
        <v>140</v>
      </c>
      <c r="K6" s="27" t="s">
        <v>9</v>
      </c>
      <c r="L6" s="27" t="s">
        <v>10</v>
      </c>
      <c r="M6" s="53"/>
      <c r="N6" s="54"/>
      <c r="O6" s="32"/>
    </row>
    <row r="7" spans="1:15" ht="26.25">
      <c r="A7" s="79">
        <v>11005</v>
      </c>
      <c r="B7" s="31" t="s">
        <v>287</v>
      </c>
      <c r="C7" s="33" t="s">
        <v>48</v>
      </c>
      <c r="D7" s="33" t="s">
        <v>146</v>
      </c>
      <c r="E7" s="37" t="s">
        <v>286</v>
      </c>
      <c r="F7" s="33" t="s">
        <v>290</v>
      </c>
      <c r="G7" s="37" t="s">
        <v>55</v>
      </c>
      <c r="H7" s="33" t="s">
        <v>140</v>
      </c>
      <c r="I7" s="37" t="s">
        <v>74</v>
      </c>
      <c r="J7" s="33" t="s">
        <v>15</v>
      </c>
      <c r="K7" s="27" t="s">
        <v>9</v>
      </c>
      <c r="L7" s="27" t="s">
        <v>10</v>
      </c>
      <c r="M7" s="53"/>
      <c r="N7" s="54"/>
      <c r="O7" s="32"/>
    </row>
    <row r="8" spans="1:15" ht="26.25">
      <c r="A8" s="79">
        <v>11006</v>
      </c>
      <c r="B8" s="31" t="s">
        <v>160</v>
      </c>
      <c r="C8" s="33" t="s">
        <v>51</v>
      </c>
      <c r="D8" s="33" t="s">
        <v>146</v>
      </c>
      <c r="E8" s="33" t="s">
        <v>271</v>
      </c>
      <c r="F8" s="33" t="s">
        <v>272</v>
      </c>
      <c r="G8" s="37" t="s">
        <v>7</v>
      </c>
      <c r="H8" s="33" t="s">
        <v>15</v>
      </c>
      <c r="I8" s="37" t="s">
        <v>551</v>
      </c>
      <c r="J8" s="33" t="s">
        <v>15</v>
      </c>
      <c r="K8" s="27" t="s">
        <v>9</v>
      </c>
      <c r="L8" s="27" t="s">
        <v>10</v>
      </c>
      <c r="M8" s="53"/>
      <c r="N8" s="54"/>
      <c r="O8" s="32"/>
    </row>
    <row r="9" spans="1:15" ht="27" customHeight="1">
      <c r="A9" s="79">
        <v>11007</v>
      </c>
      <c r="B9" s="31" t="s">
        <v>148</v>
      </c>
      <c r="C9" s="33" t="s">
        <v>51</v>
      </c>
      <c r="D9" s="33" t="s">
        <v>146</v>
      </c>
      <c r="E9" s="33" t="s">
        <v>273</v>
      </c>
      <c r="F9" s="33" t="s">
        <v>290</v>
      </c>
      <c r="G9" s="37" t="s">
        <v>68</v>
      </c>
      <c r="H9" s="33" t="s">
        <v>15</v>
      </c>
      <c r="I9" s="37" t="s">
        <v>408</v>
      </c>
      <c r="J9" s="33" t="s">
        <v>15</v>
      </c>
      <c r="K9" s="27" t="s">
        <v>9</v>
      </c>
      <c r="L9" s="27" t="s">
        <v>10</v>
      </c>
      <c r="M9" s="53"/>
      <c r="N9" s="54"/>
      <c r="O9" s="32"/>
    </row>
    <row r="10" spans="1:15" ht="27" customHeight="1">
      <c r="A10" s="79">
        <v>11008</v>
      </c>
      <c r="B10" s="31" t="s">
        <v>414</v>
      </c>
      <c r="C10" s="33" t="s">
        <v>51</v>
      </c>
      <c r="D10" s="33" t="s">
        <v>146</v>
      </c>
      <c r="E10" s="33" t="s">
        <v>269</v>
      </c>
      <c r="F10" s="33" t="s">
        <v>270</v>
      </c>
      <c r="G10" s="37" t="s">
        <v>71</v>
      </c>
      <c r="H10" s="33" t="s">
        <v>15</v>
      </c>
      <c r="I10" s="37" t="s">
        <v>406</v>
      </c>
      <c r="J10" s="33" t="s">
        <v>15</v>
      </c>
      <c r="K10" s="27" t="s">
        <v>9</v>
      </c>
      <c r="L10" s="27" t="s">
        <v>10</v>
      </c>
      <c r="M10" s="53"/>
      <c r="N10" s="54"/>
      <c r="O10" s="32"/>
    </row>
    <row r="11" spans="1:15" ht="26.25">
      <c r="A11" s="79">
        <v>11009</v>
      </c>
      <c r="B11" s="31" t="s">
        <v>149</v>
      </c>
      <c r="C11" s="33" t="s">
        <v>85</v>
      </c>
      <c r="D11" s="33" t="s">
        <v>146</v>
      </c>
      <c r="E11" s="33" t="s">
        <v>245</v>
      </c>
      <c r="F11" s="33" t="s">
        <v>290</v>
      </c>
      <c r="G11" s="37" t="s">
        <v>59</v>
      </c>
      <c r="H11" s="33" t="s">
        <v>15</v>
      </c>
      <c r="I11" s="37" t="s">
        <v>65</v>
      </c>
      <c r="J11" s="33" t="s">
        <v>15</v>
      </c>
      <c r="K11" s="27" t="s">
        <v>9</v>
      </c>
      <c r="L11" s="27" t="s">
        <v>10</v>
      </c>
      <c r="M11" s="53"/>
      <c r="N11" s="54"/>
      <c r="O11" s="32"/>
    </row>
    <row r="12" spans="1:15" ht="26.25">
      <c r="A12" s="79">
        <v>11010</v>
      </c>
      <c r="B12" s="31" t="s">
        <v>150</v>
      </c>
      <c r="C12" s="33" t="s">
        <v>85</v>
      </c>
      <c r="D12" s="33" t="s">
        <v>146</v>
      </c>
      <c r="E12" s="33" t="s">
        <v>246</v>
      </c>
      <c r="F12" s="33" t="s">
        <v>247</v>
      </c>
      <c r="G12" s="37" t="s">
        <v>86</v>
      </c>
      <c r="H12" s="33" t="s">
        <v>15</v>
      </c>
      <c r="I12" s="37" t="s">
        <v>408</v>
      </c>
      <c r="J12" s="33" t="s">
        <v>15</v>
      </c>
      <c r="K12" s="27" t="s">
        <v>9</v>
      </c>
      <c r="L12" s="27" t="s">
        <v>10</v>
      </c>
      <c r="M12" s="53"/>
      <c r="N12" s="54"/>
      <c r="O12" s="32"/>
    </row>
    <row r="13" spans="1:15" ht="26.25">
      <c r="A13" s="79">
        <v>11011</v>
      </c>
      <c r="B13" s="31" t="s">
        <v>413</v>
      </c>
      <c r="C13" s="33" t="s">
        <v>65</v>
      </c>
      <c r="D13" s="33" t="s">
        <v>146</v>
      </c>
      <c r="E13" s="33" t="s">
        <v>262</v>
      </c>
      <c r="F13" s="33" t="s">
        <v>290</v>
      </c>
      <c r="G13" s="37" t="s">
        <v>8</v>
      </c>
      <c r="H13" s="33" t="s">
        <v>15</v>
      </c>
      <c r="I13" s="37" t="s">
        <v>408</v>
      </c>
      <c r="J13" s="33" t="s">
        <v>140</v>
      </c>
      <c r="K13" s="27" t="s">
        <v>9</v>
      </c>
      <c r="L13" s="27" t="s">
        <v>10</v>
      </c>
      <c r="M13" s="53"/>
      <c r="N13" s="54"/>
      <c r="O13" s="32"/>
    </row>
    <row r="14" spans="1:15" ht="26.25">
      <c r="A14" s="79">
        <v>11012</v>
      </c>
      <c r="B14" s="31" t="s">
        <v>151</v>
      </c>
      <c r="C14" s="33" t="s">
        <v>74</v>
      </c>
      <c r="D14" s="33" t="s">
        <v>146</v>
      </c>
      <c r="E14" s="33" t="s">
        <v>260</v>
      </c>
      <c r="F14" s="33" t="s">
        <v>261</v>
      </c>
      <c r="G14" s="33" t="s">
        <v>57</v>
      </c>
      <c r="H14" s="33" t="s">
        <v>15</v>
      </c>
      <c r="I14" s="37" t="s">
        <v>407</v>
      </c>
      <c r="J14" s="33" t="s">
        <v>15</v>
      </c>
      <c r="K14" s="27" t="s">
        <v>9</v>
      </c>
      <c r="L14" s="27" t="s">
        <v>10</v>
      </c>
      <c r="M14" s="53"/>
      <c r="N14" s="54"/>
      <c r="O14" s="32"/>
    </row>
    <row r="15" spans="1:15" ht="26.25">
      <c r="A15" s="79">
        <v>11013</v>
      </c>
      <c r="B15" s="31" t="s">
        <v>162</v>
      </c>
      <c r="C15" s="33" t="s">
        <v>57</v>
      </c>
      <c r="D15" s="33" t="s">
        <v>146</v>
      </c>
      <c r="E15" s="33" t="s">
        <v>281</v>
      </c>
      <c r="F15" s="33" t="s">
        <v>290</v>
      </c>
      <c r="G15" s="37" t="s">
        <v>87</v>
      </c>
      <c r="H15" s="33" t="s">
        <v>15</v>
      </c>
      <c r="I15" s="37" t="s">
        <v>55</v>
      </c>
      <c r="J15" s="33" t="s">
        <v>15</v>
      </c>
      <c r="K15" s="27" t="s">
        <v>9</v>
      </c>
      <c r="L15" s="27" t="s">
        <v>10</v>
      </c>
      <c r="M15" s="53"/>
      <c r="N15" s="54"/>
      <c r="O15" s="32"/>
    </row>
    <row r="16" spans="1:15" ht="26.25">
      <c r="A16" s="79">
        <v>11014</v>
      </c>
      <c r="B16" s="31" t="s">
        <v>384</v>
      </c>
      <c r="C16" s="33" t="s">
        <v>57</v>
      </c>
      <c r="D16" s="33" t="s">
        <v>146</v>
      </c>
      <c r="E16" s="83" t="s">
        <v>411</v>
      </c>
      <c r="F16" s="84" t="s">
        <v>412</v>
      </c>
      <c r="G16" s="37" t="s">
        <v>75</v>
      </c>
      <c r="H16" s="37" t="s">
        <v>144</v>
      </c>
      <c r="I16" s="37" t="s">
        <v>60</v>
      </c>
      <c r="J16" s="33" t="s">
        <v>139</v>
      </c>
      <c r="K16" s="27" t="s">
        <v>9</v>
      </c>
      <c r="L16" s="27" t="s">
        <v>10</v>
      </c>
      <c r="M16" s="53"/>
      <c r="N16" s="54"/>
      <c r="O16" s="32"/>
    </row>
    <row r="17" spans="1:15" ht="26.25">
      <c r="A17" s="79">
        <v>11015</v>
      </c>
      <c r="B17" s="31" t="s">
        <v>278</v>
      </c>
      <c r="C17" s="33" t="s">
        <v>8</v>
      </c>
      <c r="D17" s="33" t="s">
        <v>144</v>
      </c>
      <c r="E17" s="33" t="s">
        <v>279</v>
      </c>
      <c r="F17" s="33" t="s">
        <v>280</v>
      </c>
      <c r="G17" s="37" t="s">
        <v>63</v>
      </c>
      <c r="H17" s="33" t="s">
        <v>15</v>
      </c>
      <c r="I17" s="37" t="s">
        <v>407</v>
      </c>
      <c r="J17" s="33" t="s">
        <v>15</v>
      </c>
      <c r="K17" s="27" t="s">
        <v>9</v>
      </c>
      <c r="L17" s="27" t="s">
        <v>10</v>
      </c>
      <c r="M17" s="53"/>
      <c r="N17" s="54"/>
      <c r="O17" s="32"/>
    </row>
    <row r="18" spans="1:15" ht="26.25">
      <c r="A18" s="79">
        <v>11016</v>
      </c>
      <c r="B18" s="31" t="s">
        <v>282</v>
      </c>
      <c r="C18" s="33" t="s">
        <v>8</v>
      </c>
      <c r="D18" s="33" t="s">
        <v>144</v>
      </c>
      <c r="E18" s="33" t="s">
        <v>283</v>
      </c>
      <c r="F18" s="33" t="s">
        <v>284</v>
      </c>
      <c r="G18" s="37" t="s">
        <v>61</v>
      </c>
      <c r="H18" s="33" t="s">
        <v>15</v>
      </c>
      <c r="I18" s="37" t="s">
        <v>551</v>
      </c>
      <c r="J18" s="33" t="s">
        <v>15</v>
      </c>
      <c r="K18" s="27" t="s">
        <v>9</v>
      </c>
      <c r="L18" s="27" t="s">
        <v>10</v>
      </c>
      <c r="M18" s="53"/>
      <c r="N18" s="54"/>
      <c r="O18" s="32"/>
    </row>
    <row r="19" spans="1:15" ht="26.25">
      <c r="A19" s="79">
        <v>11017</v>
      </c>
      <c r="B19" s="31" t="s">
        <v>256</v>
      </c>
      <c r="C19" s="33" t="s">
        <v>7</v>
      </c>
      <c r="D19" s="33" t="s">
        <v>146</v>
      </c>
      <c r="E19" s="33" t="s">
        <v>257</v>
      </c>
      <c r="F19" s="33" t="s">
        <v>258</v>
      </c>
      <c r="G19" s="37" t="s">
        <v>71</v>
      </c>
      <c r="H19" s="33" t="s">
        <v>15</v>
      </c>
      <c r="I19" s="37" t="s">
        <v>63</v>
      </c>
      <c r="J19" s="33" t="s">
        <v>15</v>
      </c>
      <c r="K19" s="27" t="s">
        <v>9</v>
      </c>
      <c r="L19" s="27" t="s">
        <v>10</v>
      </c>
      <c r="M19" s="53"/>
      <c r="N19" s="54"/>
      <c r="O19" s="32"/>
    </row>
    <row r="20" spans="1:15" ht="26.25">
      <c r="A20" s="79">
        <v>11018</v>
      </c>
      <c r="B20" s="31" t="s">
        <v>152</v>
      </c>
      <c r="C20" s="33" t="s">
        <v>7</v>
      </c>
      <c r="D20" s="33" t="s">
        <v>146</v>
      </c>
      <c r="E20" s="33" t="s">
        <v>259</v>
      </c>
      <c r="F20" s="33" t="s">
        <v>290</v>
      </c>
      <c r="G20" s="37" t="s">
        <v>59</v>
      </c>
      <c r="H20" s="33" t="s">
        <v>15</v>
      </c>
      <c r="I20" s="37" t="s">
        <v>71</v>
      </c>
      <c r="J20" s="33" t="s">
        <v>15</v>
      </c>
      <c r="K20" s="27" t="s">
        <v>9</v>
      </c>
      <c r="L20" s="27" t="s">
        <v>10</v>
      </c>
      <c r="M20" s="53"/>
      <c r="N20" s="54"/>
      <c r="O20" s="32"/>
    </row>
    <row r="21" spans="1:15" ht="26.25">
      <c r="A21" s="79">
        <v>11019</v>
      </c>
      <c r="B21" s="31" t="s">
        <v>153</v>
      </c>
      <c r="C21" s="33" t="s">
        <v>7</v>
      </c>
      <c r="D21" s="33" t="s">
        <v>146</v>
      </c>
      <c r="E21" s="33" t="s">
        <v>254</v>
      </c>
      <c r="F21" s="33" t="s">
        <v>255</v>
      </c>
      <c r="G21" s="37" t="s">
        <v>288</v>
      </c>
      <c r="H21" s="33" t="s">
        <v>15</v>
      </c>
      <c r="I21" s="37" t="s">
        <v>59</v>
      </c>
      <c r="J21" s="33" t="s">
        <v>15</v>
      </c>
      <c r="K21" s="27" t="s">
        <v>9</v>
      </c>
      <c r="L21" s="27" t="s">
        <v>10</v>
      </c>
      <c r="M21" s="53"/>
      <c r="N21" s="54"/>
      <c r="O21" s="32"/>
    </row>
    <row r="22" spans="1:15" ht="26.25">
      <c r="A22" s="79">
        <v>11020</v>
      </c>
      <c r="B22" s="31" t="s">
        <v>154</v>
      </c>
      <c r="C22" s="33" t="s">
        <v>86</v>
      </c>
      <c r="D22" s="33" t="s">
        <v>155</v>
      </c>
      <c r="E22" s="33" t="s">
        <v>263</v>
      </c>
      <c r="F22" s="33" t="s">
        <v>264</v>
      </c>
      <c r="G22" s="33" t="s">
        <v>57</v>
      </c>
      <c r="H22" s="33" t="s">
        <v>15</v>
      </c>
      <c r="I22" s="37" t="s">
        <v>551</v>
      </c>
      <c r="J22" s="33" t="s">
        <v>139</v>
      </c>
      <c r="K22" s="27" t="s">
        <v>9</v>
      </c>
      <c r="L22" s="27" t="s">
        <v>10</v>
      </c>
      <c r="M22" s="53"/>
      <c r="N22" s="54"/>
      <c r="O22" s="32"/>
    </row>
    <row r="23" spans="1:15" ht="26.25">
      <c r="A23" s="79">
        <v>11021</v>
      </c>
      <c r="B23" s="31" t="s">
        <v>156</v>
      </c>
      <c r="C23" s="33" t="s">
        <v>86</v>
      </c>
      <c r="D23" s="33" t="s">
        <v>155</v>
      </c>
      <c r="E23" s="33" t="s">
        <v>265</v>
      </c>
      <c r="F23" s="33" t="s">
        <v>266</v>
      </c>
      <c r="G23" s="33" t="s">
        <v>53</v>
      </c>
      <c r="H23" s="33" t="s">
        <v>15</v>
      </c>
      <c r="I23" s="37" t="s">
        <v>71</v>
      </c>
      <c r="J23" s="33" t="s">
        <v>15</v>
      </c>
      <c r="K23" s="27" t="s">
        <v>9</v>
      </c>
      <c r="L23" s="27" t="s">
        <v>10</v>
      </c>
      <c r="M23" s="53"/>
      <c r="N23" s="54"/>
      <c r="O23" s="32"/>
    </row>
    <row r="24" spans="1:15" ht="26.25">
      <c r="A24" s="79">
        <v>11022</v>
      </c>
      <c r="B24" s="31" t="s">
        <v>157</v>
      </c>
      <c r="C24" s="33" t="s">
        <v>86</v>
      </c>
      <c r="D24" s="33" t="s">
        <v>155</v>
      </c>
      <c r="E24" s="33" t="s">
        <v>267</v>
      </c>
      <c r="F24" s="33" t="s">
        <v>268</v>
      </c>
      <c r="G24" s="37" t="s">
        <v>61</v>
      </c>
      <c r="H24" s="33" t="s">
        <v>15</v>
      </c>
      <c r="I24" s="37" t="s">
        <v>87</v>
      </c>
      <c r="J24" s="33" t="s">
        <v>15</v>
      </c>
      <c r="K24" s="27" t="s">
        <v>9</v>
      </c>
      <c r="L24" s="27" t="s">
        <v>10</v>
      </c>
      <c r="M24" s="53"/>
      <c r="N24" s="54"/>
      <c r="O24" s="32"/>
    </row>
    <row r="25" spans="1:15" ht="26.25">
      <c r="A25" s="80">
        <v>12001</v>
      </c>
      <c r="B25" s="31" t="s">
        <v>163</v>
      </c>
      <c r="C25" s="33" t="s">
        <v>68</v>
      </c>
      <c r="D25" s="33" t="s">
        <v>164</v>
      </c>
      <c r="E25" s="33" t="s">
        <v>197</v>
      </c>
      <c r="F25" s="33" t="s">
        <v>290</v>
      </c>
      <c r="G25" s="37" t="s">
        <v>50</v>
      </c>
      <c r="H25" s="33" t="s">
        <v>15</v>
      </c>
      <c r="I25" s="37" t="s">
        <v>52</v>
      </c>
      <c r="J25" s="33" t="s">
        <v>15</v>
      </c>
      <c r="K25" s="27" t="s">
        <v>9</v>
      </c>
      <c r="L25" s="27" t="s">
        <v>136</v>
      </c>
      <c r="M25" s="53"/>
      <c r="N25" s="54"/>
      <c r="O25" s="32"/>
    </row>
    <row r="26" spans="1:15" ht="26.25">
      <c r="A26" s="80">
        <v>12002</v>
      </c>
      <c r="B26" s="31" t="s">
        <v>165</v>
      </c>
      <c r="C26" s="33" t="s">
        <v>68</v>
      </c>
      <c r="D26" s="33" t="s">
        <v>164</v>
      </c>
      <c r="E26" s="33" t="s">
        <v>198</v>
      </c>
      <c r="F26" s="33" t="s">
        <v>199</v>
      </c>
      <c r="G26" s="33" t="s">
        <v>244</v>
      </c>
      <c r="H26" s="33" t="s">
        <v>15</v>
      </c>
      <c r="I26" s="37" t="s">
        <v>406</v>
      </c>
      <c r="J26" s="33" t="s">
        <v>15</v>
      </c>
      <c r="K26" s="27" t="s">
        <v>9</v>
      </c>
      <c r="L26" s="27" t="s">
        <v>136</v>
      </c>
      <c r="M26" s="53"/>
      <c r="N26" s="54"/>
      <c r="O26" s="32"/>
    </row>
    <row r="27" spans="1:15" ht="26.25">
      <c r="A27" s="80">
        <v>12003</v>
      </c>
      <c r="B27" s="31" t="s">
        <v>166</v>
      </c>
      <c r="C27" s="33" t="s">
        <v>50</v>
      </c>
      <c r="D27" s="33" t="s">
        <v>164</v>
      </c>
      <c r="E27" s="33" t="s">
        <v>200</v>
      </c>
      <c r="F27" s="33" t="s">
        <v>201</v>
      </c>
      <c r="G27" s="37" t="s">
        <v>52</v>
      </c>
      <c r="H27" s="33" t="s">
        <v>15</v>
      </c>
      <c r="I27" s="37" t="s">
        <v>67</v>
      </c>
      <c r="J27" s="33" t="s">
        <v>15</v>
      </c>
      <c r="K27" s="27" t="s">
        <v>9</v>
      </c>
      <c r="L27" s="27" t="s">
        <v>136</v>
      </c>
      <c r="M27" s="53"/>
      <c r="N27" s="54"/>
      <c r="O27" s="32"/>
    </row>
    <row r="28" spans="1:15" ht="26.25">
      <c r="A28" s="80">
        <v>12004</v>
      </c>
      <c r="B28" s="31" t="s">
        <v>167</v>
      </c>
      <c r="C28" s="33" t="s">
        <v>52</v>
      </c>
      <c r="D28" s="33" t="s">
        <v>164</v>
      </c>
      <c r="E28" s="33" t="s">
        <v>202</v>
      </c>
      <c r="F28" s="33" t="s">
        <v>203</v>
      </c>
      <c r="G28" s="37" t="s">
        <v>51</v>
      </c>
      <c r="H28" s="33" t="s">
        <v>15</v>
      </c>
      <c r="I28" s="37" t="s">
        <v>406</v>
      </c>
      <c r="J28" s="33" t="s">
        <v>15</v>
      </c>
      <c r="K28" s="27" t="s">
        <v>9</v>
      </c>
      <c r="L28" s="27" t="s">
        <v>136</v>
      </c>
      <c r="M28" s="53"/>
      <c r="N28" s="54"/>
      <c r="O28" s="32"/>
    </row>
    <row r="29" spans="1:15" ht="26.25">
      <c r="A29" s="80">
        <v>12005</v>
      </c>
      <c r="B29" s="31" t="s">
        <v>168</v>
      </c>
      <c r="C29" s="33" t="s">
        <v>77</v>
      </c>
      <c r="D29" s="33" t="s">
        <v>164</v>
      </c>
      <c r="E29" s="33" t="s">
        <v>204</v>
      </c>
      <c r="F29" s="33" t="s">
        <v>205</v>
      </c>
      <c r="G29" s="37" t="s">
        <v>48</v>
      </c>
      <c r="H29" s="33" t="s">
        <v>15</v>
      </c>
      <c r="I29" s="37" t="s">
        <v>551</v>
      </c>
      <c r="J29" s="33" t="s">
        <v>139</v>
      </c>
      <c r="K29" s="27" t="s">
        <v>9</v>
      </c>
      <c r="L29" s="27" t="s">
        <v>136</v>
      </c>
      <c r="M29" s="53"/>
      <c r="N29" s="54"/>
      <c r="O29" s="32"/>
    </row>
    <row r="30" spans="1:15" ht="26.25">
      <c r="A30" s="80">
        <v>12006</v>
      </c>
      <c r="B30" s="31" t="s">
        <v>169</v>
      </c>
      <c r="C30" s="33" t="s">
        <v>77</v>
      </c>
      <c r="D30" s="33" t="s">
        <v>164</v>
      </c>
      <c r="E30" s="33" t="s">
        <v>206</v>
      </c>
      <c r="F30" s="33" t="s">
        <v>207</v>
      </c>
      <c r="G30" s="37" t="s">
        <v>75</v>
      </c>
      <c r="H30" s="33" t="s">
        <v>140</v>
      </c>
      <c r="I30" s="37" t="s">
        <v>74</v>
      </c>
      <c r="J30" s="33" t="s">
        <v>15</v>
      </c>
      <c r="K30" s="27" t="s">
        <v>9</v>
      </c>
      <c r="L30" s="27" t="s">
        <v>136</v>
      </c>
      <c r="M30" s="53"/>
      <c r="N30" s="54"/>
      <c r="O30" s="32"/>
    </row>
    <row r="31" spans="1:15" ht="26.25">
      <c r="A31" s="80">
        <v>12007</v>
      </c>
      <c r="B31" s="31" t="s">
        <v>170</v>
      </c>
      <c r="C31" s="33" t="s">
        <v>70</v>
      </c>
      <c r="D31" s="33" t="s">
        <v>164</v>
      </c>
      <c r="E31" s="33" t="s">
        <v>208</v>
      </c>
      <c r="F31" s="33" t="s">
        <v>290</v>
      </c>
      <c r="G31" s="37" t="s">
        <v>67</v>
      </c>
      <c r="H31" s="33" t="s">
        <v>15</v>
      </c>
      <c r="I31" s="33" t="s">
        <v>244</v>
      </c>
      <c r="J31" s="33" t="s">
        <v>15</v>
      </c>
      <c r="K31" s="27" t="s">
        <v>9</v>
      </c>
      <c r="L31" s="27" t="s">
        <v>136</v>
      </c>
      <c r="M31" s="53"/>
      <c r="N31" s="54"/>
      <c r="O31" s="32"/>
    </row>
    <row r="32" spans="1:15" ht="26.25">
      <c r="A32" s="80">
        <v>12008</v>
      </c>
      <c r="B32" s="31" t="s">
        <v>171</v>
      </c>
      <c r="C32" s="33" t="s">
        <v>70</v>
      </c>
      <c r="D32" s="33" t="s">
        <v>164</v>
      </c>
      <c r="E32" s="33" t="s">
        <v>209</v>
      </c>
      <c r="F32" s="33" t="s">
        <v>210</v>
      </c>
      <c r="G32" s="37" t="s">
        <v>174</v>
      </c>
      <c r="H32" s="33" t="s">
        <v>140</v>
      </c>
      <c r="I32" s="37" t="s">
        <v>406</v>
      </c>
      <c r="J32" s="33" t="s">
        <v>15</v>
      </c>
      <c r="K32" s="27" t="s">
        <v>9</v>
      </c>
      <c r="L32" s="27" t="s">
        <v>136</v>
      </c>
      <c r="M32" s="53"/>
      <c r="N32" s="54"/>
      <c r="O32" s="32"/>
    </row>
    <row r="33" spans="1:15" ht="26.25">
      <c r="A33" s="80">
        <v>12009</v>
      </c>
      <c r="B33" s="31" t="s">
        <v>172</v>
      </c>
      <c r="C33" s="33" t="s">
        <v>70</v>
      </c>
      <c r="D33" s="33" t="s">
        <v>164</v>
      </c>
      <c r="E33" s="33" t="s">
        <v>211</v>
      </c>
      <c r="F33" s="33" t="s">
        <v>212</v>
      </c>
      <c r="G33" s="37" t="s">
        <v>50</v>
      </c>
      <c r="H33" s="33" t="s">
        <v>15</v>
      </c>
      <c r="I33" s="37" t="s">
        <v>288</v>
      </c>
      <c r="J33" s="33" t="s">
        <v>15</v>
      </c>
      <c r="K33" s="27" t="s">
        <v>9</v>
      </c>
      <c r="L33" s="27" t="s">
        <v>136</v>
      </c>
      <c r="M33" s="53"/>
      <c r="N33" s="54"/>
      <c r="O33" s="32"/>
    </row>
    <row r="34" spans="1:15" ht="26.25">
      <c r="A34" s="80">
        <v>12010</v>
      </c>
      <c r="B34" s="31" t="s">
        <v>173</v>
      </c>
      <c r="C34" s="33" t="s">
        <v>174</v>
      </c>
      <c r="D34" s="33" t="s">
        <v>175</v>
      </c>
      <c r="E34" s="33" t="s">
        <v>213</v>
      </c>
      <c r="F34" s="33" t="s">
        <v>290</v>
      </c>
      <c r="G34" s="37" t="s">
        <v>60</v>
      </c>
      <c r="H34" s="33" t="s">
        <v>139</v>
      </c>
      <c r="I34" s="37" t="s">
        <v>408</v>
      </c>
      <c r="J34" s="33" t="s">
        <v>15</v>
      </c>
      <c r="K34" s="27" t="s">
        <v>9</v>
      </c>
      <c r="L34" s="27" t="s">
        <v>136</v>
      </c>
      <c r="M34" s="53"/>
      <c r="N34" s="54"/>
      <c r="O34" s="32"/>
    </row>
    <row r="35" spans="1:15" ht="26.25">
      <c r="A35" s="80">
        <v>12011</v>
      </c>
      <c r="B35" s="31" t="s">
        <v>176</v>
      </c>
      <c r="C35" s="33" t="s">
        <v>174</v>
      </c>
      <c r="D35" s="33" t="s">
        <v>175</v>
      </c>
      <c r="E35" s="33" t="s">
        <v>214</v>
      </c>
      <c r="F35" s="33" t="s">
        <v>215</v>
      </c>
      <c r="G35" s="37" t="s">
        <v>193</v>
      </c>
      <c r="H35" s="33" t="s">
        <v>139</v>
      </c>
      <c r="I35" s="37" t="s">
        <v>288</v>
      </c>
      <c r="J35" s="33" t="s">
        <v>15</v>
      </c>
      <c r="K35" s="27" t="s">
        <v>9</v>
      </c>
      <c r="L35" s="27" t="s">
        <v>136</v>
      </c>
      <c r="M35" s="53"/>
      <c r="N35" s="54"/>
      <c r="O35" s="32"/>
    </row>
    <row r="36" spans="1:15" ht="26.25">
      <c r="A36" s="80">
        <v>12012</v>
      </c>
      <c r="B36" s="31" t="s">
        <v>177</v>
      </c>
      <c r="C36" s="33" t="s">
        <v>174</v>
      </c>
      <c r="D36" s="33" t="s">
        <v>175</v>
      </c>
      <c r="E36" s="33" t="s">
        <v>216</v>
      </c>
      <c r="F36" s="33" t="s">
        <v>217</v>
      </c>
      <c r="G36" s="37" t="s">
        <v>288</v>
      </c>
      <c r="H36" s="33" t="s">
        <v>15</v>
      </c>
      <c r="I36" s="37" t="s">
        <v>8</v>
      </c>
      <c r="J36" s="33" t="s">
        <v>139</v>
      </c>
      <c r="K36" s="27" t="s">
        <v>9</v>
      </c>
      <c r="L36" s="27" t="s">
        <v>136</v>
      </c>
      <c r="M36" s="53"/>
      <c r="N36" s="54"/>
      <c r="O36" s="32"/>
    </row>
    <row r="37" spans="1:15" ht="26.25">
      <c r="A37" s="80">
        <v>12013</v>
      </c>
      <c r="B37" s="31" t="s">
        <v>178</v>
      </c>
      <c r="C37" s="33" t="s">
        <v>179</v>
      </c>
      <c r="D37" s="33" t="s">
        <v>164</v>
      </c>
      <c r="E37" s="33" t="s">
        <v>218</v>
      </c>
      <c r="F37" s="33" t="s">
        <v>219</v>
      </c>
      <c r="G37" s="37" t="s">
        <v>71</v>
      </c>
      <c r="H37" s="33" t="s">
        <v>15</v>
      </c>
      <c r="I37" s="37" t="s">
        <v>60</v>
      </c>
      <c r="J37" s="33" t="s">
        <v>139</v>
      </c>
      <c r="K37" s="27" t="s">
        <v>9</v>
      </c>
      <c r="L37" s="27" t="s">
        <v>136</v>
      </c>
      <c r="M37" s="53"/>
      <c r="N37" s="54"/>
      <c r="O37" s="32"/>
    </row>
    <row r="38" spans="1:15" ht="26.25">
      <c r="A38" s="80">
        <v>12014</v>
      </c>
      <c r="B38" s="31" t="s">
        <v>180</v>
      </c>
      <c r="C38" s="33" t="s">
        <v>179</v>
      </c>
      <c r="D38" s="33" t="s">
        <v>164</v>
      </c>
      <c r="E38" s="33" t="s">
        <v>220</v>
      </c>
      <c r="F38" s="33" t="s">
        <v>290</v>
      </c>
      <c r="G38" s="37" t="s">
        <v>72</v>
      </c>
      <c r="H38" s="33" t="s">
        <v>139</v>
      </c>
      <c r="I38" s="37" t="s">
        <v>87</v>
      </c>
      <c r="J38" s="33" t="s">
        <v>139</v>
      </c>
      <c r="K38" s="27" t="s">
        <v>9</v>
      </c>
      <c r="L38" s="27" t="s">
        <v>136</v>
      </c>
      <c r="M38" s="53"/>
      <c r="N38" s="54"/>
      <c r="O38" s="32"/>
    </row>
    <row r="39" spans="1:15" ht="26.25">
      <c r="A39" s="80">
        <v>12015</v>
      </c>
      <c r="B39" s="31" t="s">
        <v>181</v>
      </c>
      <c r="C39" s="33" t="s">
        <v>179</v>
      </c>
      <c r="D39" s="33" t="s">
        <v>164</v>
      </c>
      <c r="E39" s="33" t="s">
        <v>221</v>
      </c>
      <c r="F39" s="33" t="s">
        <v>222</v>
      </c>
      <c r="G39" s="37" t="s">
        <v>52</v>
      </c>
      <c r="H39" s="33" t="s">
        <v>15</v>
      </c>
      <c r="I39" s="37" t="s">
        <v>72</v>
      </c>
      <c r="J39" s="33" t="s">
        <v>139</v>
      </c>
      <c r="K39" s="27" t="s">
        <v>9</v>
      </c>
      <c r="L39" s="27" t="s">
        <v>136</v>
      </c>
      <c r="M39" s="53"/>
      <c r="N39" s="54"/>
      <c r="O39" s="32"/>
    </row>
    <row r="40" spans="1:15" ht="26.25">
      <c r="A40" s="80">
        <v>12016</v>
      </c>
      <c r="B40" s="31" t="s">
        <v>182</v>
      </c>
      <c r="C40" s="33" t="s">
        <v>72</v>
      </c>
      <c r="D40" s="33" t="s">
        <v>144</v>
      </c>
      <c r="E40" s="33" t="s">
        <v>223</v>
      </c>
      <c r="F40" s="33" t="s">
        <v>224</v>
      </c>
      <c r="G40" s="37" t="s">
        <v>68</v>
      </c>
      <c r="H40" s="33" t="s">
        <v>15</v>
      </c>
      <c r="I40" s="37" t="s">
        <v>193</v>
      </c>
      <c r="J40" s="33" t="s">
        <v>139</v>
      </c>
      <c r="K40" s="27" t="s">
        <v>9</v>
      </c>
      <c r="L40" s="27" t="s">
        <v>136</v>
      </c>
      <c r="M40" s="53"/>
      <c r="N40" s="54"/>
      <c r="O40" s="32"/>
    </row>
    <row r="41" spans="1:15" ht="26.25">
      <c r="A41" s="80">
        <v>12017</v>
      </c>
      <c r="B41" s="31" t="s">
        <v>183</v>
      </c>
      <c r="C41" s="33" t="s">
        <v>72</v>
      </c>
      <c r="D41" s="33" t="s">
        <v>144</v>
      </c>
      <c r="E41" s="33" t="s">
        <v>225</v>
      </c>
      <c r="F41" s="33" t="s">
        <v>226</v>
      </c>
      <c r="G41" s="37" t="s">
        <v>73</v>
      </c>
      <c r="H41" s="33" t="s">
        <v>15</v>
      </c>
      <c r="I41" s="37" t="s">
        <v>407</v>
      </c>
      <c r="J41" s="33" t="s">
        <v>15</v>
      </c>
      <c r="K41" s="27" t="s">
        <v>9</v>
      </c>
      <c r="L41" s="27" t="s">
        <v>136</v>
      </c>
      <c r="M41" s="53"/>
      <c r="N41" s="54"/>
      <c r="O41" s="32"/>
    </row>
    <row r="42" spans="1:15" ht="26.25">
      <c r="A42" s="80">
        <v>12018</v>
      </c>
      <c r="B42" s="31" t="s">
        <v>184</v>
      </c>
      <c r="C42" s="33" t="s">
        <v>72</v>
      </c>
      <c r="D42" s="33" t="s">
        <v>144</v>
      </c>
      <c r="E42" s="33" t="s">
        <v>227</v>
      </c>
      <c r="F42" s="33" t="s">
        <v>228</v>
      </c>
      <c r="G42" s="37" t="s">
        <v>288</v>
      </c>
      <c r="H42" s="33" t="s">
        <v>15</v>
      </c>
      <c r="I42" s="37" t="s">
        <v>63</v>
      </c>
      <c r="J42" s="33" t="s">
        <v>139</v>
      </c>
      <c r="K42" s="27" t="s">
        <v>9</v>
      </c>
      <c r="L42" s="27" t="s">
        <v>136</v>
      </c>
      <c r="M42" s="53"/>
      <c r="N42" s="54"/>
      <c r="O42" s="32"/>
    </row>
    <row r="43" spans="1:15" ht="26.25">
      <c r="A43" s="80">
        <v>12019</v>
      </c>
      <c r="B43" s="31" t="s">
        <v>185</v>
      </c>
      <c r="C43" s="33" t="s">
        <v>69</v>
      </c>
      <c r="D43" s="33" t="s">
        <v>15</v>
      </c>
      <c r="E43" s="33" t="s">
        <v>229</v>
      </c>
      <c r="F43" s="33" t="s">
        <v>230</v>
      </c>
      <c r="G43" s="37" t="s">
        <v>63</v>
      </c>
      <c r="H43" s="33" t="s">
        <v>15</v>
      </c>
      <c r="I43" s="37" t="s">
        <v>75</v>
      </c>
      <c r="J43" s="33" t="s">
        <v>15</v>
      </c>
      <c r="K43" s="27" t="s">
        <v>9</v>
      </c>
      <c r="L43" s="27" t="s">
        <v>136</v>
      </c>
      <c r="M43" s="53"/>
      <c r="N43" s="54"/>
      <c r="O43" s="32"/>
    </row>
    <row r="44" spans="1:15" ht="26.25">
      <c r="A44" s="80">
        <v>12020</v>
      </c>
      <c r="B44" s="31" t="s">
        <v>186</v>
      </c>
      <c r="C44" s="33" t="s">
        <v>69</v>
      </c>
      <c r="D44" s="33" t="s">
        <v>15</v>
      </c>
      <c r="E44" s="33" t="s">
        <v>231</v>
      </c>
      <c r="F44" s="33" t="s">
        <v>290</v>
      </c>
      <c r="G44" s="37" t="s">
        <v>133</v>
      </c>
      <c r="H44" s="33" t="s">
        <v>139</v>
      </c>
      <c r="I44" s="37" t="s">
        <v>551</v>
      </c>
      <c r="J44" s="33" t="s">
        <v>15</v>
      </c>
      <c r="K44" s="27" t="s">
        <v>9</v>
      </c>
      <c r="L44" s="27" t="s">
        <v>136</v>
      </c>
      <c r="M44" s="53"/>
      <c r="N44" s="54"/>
      <c r="O44" s="32"/>
    </row>
    <row r="45" spans="1:15" ht="26.25">
      <c r="A45" s="80">
        <v>12021</v>
      </c>
      <c r="B45" s="31" t="s">
        <v>187</v>
      </c>
      <c r="C45" s="33" t="s">
        <v>69</v>
      </c>
      <c r="D45" s="33" t="s">
        <v>15</v>
      </c>
      <c r="E45" s="33" t="s">
        <v>232</v>
      </c>
      <c r="F45" s="33" t="s">
        <v>290</v>
      </c>
      <c r="G45" s="37" t="s">
        <v>58</v>
      </c>
      <c r="H45" s="33" t="s">
        <v>139</v>
      </c>
      <c r="I45" s="37" t="s">
        <v>55</v>
      </c>
      <c r="J45" s="33" t="s">
        <v>140</v>
      </c>
      <c r="K45" s="27" t="s">
        <v>9</v>
      </c>
      <c r="L45" s="27" t="s">
        <v>136</v>
      </c>
      <c r="M45" s="53"/>
      <c r="N45" s="54"/>
      <c r="O45" s="32"/>
    </row>
    <row r="46" spans="1:15" ht="26.25">
      <c r="A46" s="80">
        <v>12022</v>
      </c>
      <c r="B46" s="31" t="s">
        <v>188</v>
      </c>
      <c r="C46" s="33" t="s">
        <v>133</v>
      </c>
      <c r="D46" s="33" t="s">
        <v>144</v>
      </c>
      <c r="E46" s="33" t="s">
        <v>233</v>
      </c>
      <c r="F46" s="33" t="s">
        <v>234</v>
      </c>
      <c r="G46" s="37" t="s">
        <v>70</v>
      </c>
      <c r="H46" s="33" t="s">
        <v>15</v>
      </c>
      <c r="I46" s="37" t="s">
        <v>76</v>
      </c>
      <c r="J46" s="33" t="s">
        <v>15</v>
      </c>
      <c r="K46" s="27" t="s">
        <v>9</v>
      </c>
      <c r="L46" s="27" t="s">
        <v>136</v>
      </c>
      <c r="M46" s="53"/>
      <c r="N46" s="54"/>
      <c r="O46" s="32"/>
    </row>
    <row r="47" spans="1:15" ht="25.5" customHeight="1">
      <c r="A47" s="80">
        <v>12023</v>
      </c>
      <c r="B47" s="31" t="s">
        <v>189</v>
      </c>
      <c r="C47" s="33" t="s">
        <v>133</v>
      </c>
      <c r="D47" s="33" t="s">
        <v>144</v>
      </c>
      <c r="E47" s="33" t="s">
        <v>235</v>
      </c>
      <c r="F47" s="33" t="s">
        <v>236</v>
      </c>
      <c r="G47" s="37" t="s">
        <v>58</v>
      </c>
      <c r="H47" s="33" t="s">
        <v>15</v>
      </c>
      <c r="I47" s="37" t="s">
        <v>84</v>
      </c>
      <c r="J47" s="33" t="s">
        <v>15</v>
      </c>
      <c r="K47" s="27" t="s">
        <v>111</v>
      </c>
      <c r="L47" s="27" t="s">
        <v>136</v>
      </c>
      <c r="M47" s="53"/>
      <c r="N47" s="54"/>
      <c r="O47" s="32"/>
    </row>
    <row r="48" spans="1:15" ht="26.25">
      <c r="A48" s="80">
        <v>12024</v>
      </c>
      <c r="B48" s="31" t="s">
        <v>190</v>
      </c>
      <c r="C48" s="33" t="s">
        <v>81</v>
      </c>
      <c r="D48" s="33" t="s">
        <v>15</v>
      </c>
      <c r="E48" s="33" t="s">
        <v>237</v>
      </c>
      <c r="F48" s="33" t="s">
        <v>238</v>
      </c>
      <c r="G48" s="37" t="s">
        <v>84</v>
      </c>
      <c r="H48" s="33" t="s">
        <v>15</v>
      </c>
      <c r="I48" s="37" t="s">
        <v>87</v>
      </c>
      <c r="J48" s="33" t="s">
        <v>140</v>
      </c>
      <c r="K48" s="27" t="s">
        <v>111</v>
      </c>
      <c r="L48" s="27" t="s">
        <v>136</v>
      </c>
      <c r="M48" s="53"/>
      <c r="N48" s="54"/>
      <c r="O48" s="32"/>
    </row>
    <row r="49" spans="1:15" ht="26.25">
      <c r="A49" s="80">
        <v>12025</v>
      </c>
      <c r="B49" s="31" t="s">
        <v>191</v>
      </c>
      <c r="C49" s="33" t="s">
        <v>81</v>
      </c>
      <c r="D49" s="33" t="s">
        <v>15</v>
      </c>
      <c r="E49" s="33" t="s">
        <v>239</v>
      </c>
      <c r="F49" s="33" t="s">
        <v>240</v>
      </c>
      <c r="G49" s="37" t="s">
        <v>87</v>
      </c>
      <c r="H49" s="33" t="s">
        <v>140</v>
      </c>
      <c r="I49" s="37" t="s">
        <v>244</v>
      </c>
      <c r="J49" s="33" t="s">
        <v>15</v>
      </c>
      <c r="K49" s="27" t="s">
        <v>111</v>
      </c>
      <c r="L49" s="27" t="s">
        <v>136</v>
      </c>
      <c r="M49" s="53"/>
      <c r="N49" s="54"/>
      <c r="O49" s="32"/>
    </row>
    <row r="50" spans="1:15" ht="26.25">
      <c r="A50" s="80">
        <v>12026</v>
      </c>
      <c r="B50" s="31" t="s">
        <v>192</v>
      </c>
      <c r="C50" s="33" t="s">
        <v>193</v>
      </c>
      <c r="D50" s="33" t="s">
        <v>144</v>
      </c>
      <c r="E50" s="33" t="s">
        <v>241</v>
      </c>
      <c r="F50" s="33" t="s">
        <v>242</v>
      </c>
      <c r="G50" s="37" t="s">
        <v>244</v>
      </c>
      <c r="H50" s="33" t="s">
        <v>15</v>
      </c>
      <c r="I50" s="37" t="s">
        <v>76</v>
      </c>
      <c r="J50" s="33" t="s">
        <v>15</v>
      </c>
      <c r="K50" s="27" t="s">
        <v>111</v>
      </c>
      <c r="L50" s="27" t="s">
        <v>136</v>
      </c>
      <c r="M50" s="53"/>
      <c r="N50" s="54"/>
      <c r="O50" s="32"/>
    </row>
    <row r="51" spans="1:15" ht="26.25">
      <c r="A51" s="80">
        <v>12027</v>
      </c>
      <c r="B51" s="31" t="s">
        <v>194</v>
      </c>
      <c r="C51" s="33" t="s">
        <v>252</v>
      </c>
      <c r="D51" s="33" t="s">
        <v>155</v>
      </c>
      <c r="E51" s="33" t="s">
        <v>243</v>
      </c>
      <c r="F51" s="33" t="s">
        <v>290</v>
      </c>
      <c r="G51" s="37" t="s">
        <v>76</v>
      </c>
      <c r="H51" s="33" t="s">
        <v>15</v>
      </c>
      <c r="I51" s="37" t="s">
        <v>84</v>
      </c>
      <c r="J51" s="33" t="s">
        <v>15</v>
      </c>
      <c r="K51" s="27" t="s">
        <v>111</v>
      </c>
      <c r="L51" s="27" t="s">
        <v>136</v>
      </c>
      <c r="M51" s="53"/>
      <c r="N51" s="54"/>
      <c r="O51" s="32"/>
    </row>
    <row r="52" spans="1:15" ht="26.25">
      <c r="A52" s="81">
        <v>21001</v>
      </c>
      <c r="B52" s="31" t="s">
        <v>470</v>
      </c>
      <c r="C52" s="33" t="s">
        <v>465</v>
      </c>
      <c r="D52" s="33" t="s">
        <v>15</v>
      </c>
      <c r="E52" s="33" t="s">
        <v>490</v>
      </c>
      <c r="F52" s="33" t="s">
        <v>491</v>
      </c>
      <c r="G52" s="37" t="s">
        <v>533</v>
      </c>
      <c r="H52" s="33" t="s">
        <v>15</v>
      </c>
      <c r="I52" s="37" t="s">
        <v>534</v>
      </c>
      <c r="J52" s="33" t="s">
        <v>15</v>
      </c>
      <c r="K52" s="27" t="s">
        <v>111</v>
      </c>
      <c r="L52" s="27" t="s">
        <v>112</v>
      </c>
      <c r="M52" s="53"/>
      <c r="N52" s="54"/>
      <c r="O52" s="32"/>
    </row>
    <row r="53" spans="1:15" ht="26.25">
      <c r="A53" s="81">
        <v>21002</v>
      </c>
      <c r="B53" s="31" t="s">
        <v>471</v>
      </c>
      <c r="C53" s="33" t="s">
        <v>465</v>
      </c>
      <c r="D53" s="33" t="s">
        <v>15</v>
      </c>
      <c r="E53" s="33" t="s">
        <v>492</v>
      </c>
      <c r="F53" s="33" t="s">
        <v>493</v>
      </c>
      <c r="G53" s="37" t="s">
        <v>534</v>
      </c>
      <c r="H53" s="33" t="s">
        <v>15</v>
      </c>
      <c r="I53" s="37" t="s">
        <v>103</v>
      </c>
      <c r="J53" s="33" t="s">
        <v>15</v>
      </c>
      <c r="K53" s="27" t="s">
        <v>111</v>
      </c>
      <c r="L53" s="27" t="s">
        <v>112</v>
      </c>
      <c r="M53" s="53"/>
      <c r="N53" s="54"/>
      <c r="O53" s="32"/>
    </row>
    <row r="54" spans="1:15" ht="26.25">
      <c r="A54" s="81">
        <v>21003</v>
      </c>
      <c r="B54" s="31" t="s">
        <v>472</v>
      </c>
      <c r="C54" s="33" t="s">
        <v>465</v>
      </c>
      <c r="D54" s="33" t="s">
        <v>15</v>
      </c>
      <c r="E54" s="33" t="s">
        <v>494</v>
      </c>
      <c r="F54" s="33" t="s">
        <v>495</v>
      </c>
      <c r="G54" s="37" t="s">
        <v>90</v>
      </c>
      <c r="H54" s="33" t="s">
        <v>15</v>
      </c>
      <c r="I54" s="37" t="s">
        <v>392</v>
      </c>
      <c r="J54" s="33" t="s">
        <v>15</v>
      </c>
      <c r="K54" s="27" t="s">
        <v>111</v>
      </c>
      <c r="L54" s="27" t="s">
        <v>112</v>
      </c>
      <c r="M54" s="53"/>
      <c r="N54" s="54"/>
      <c r="O54" s="32"/>
    </row>
    <row r="55" spans="1:15" ht="26.25">
      <c r="A55" s="81">
        <v>21004</v>
      </c>
      <c r="B55" s="31" t="s">
        <v>473</v>
      </c>
      <c r="C55" s="33" t="s">
        <v>94</v>
      </c>
      <c r="D55" s="33" t="s">
        <v>15</v>
      </c>
      <c r="E55" s="33" t="s">
        <v>496</v>
      </c>
      <c r="F55" s="33" t="s">
        <v>497</v>
      </c>
      <c r="G55" s="37" t="s">
        <v>119</v>
      </c>
      <c r="H55" s="33" t="s">
        <v>15</v>
      </c>
      <c r="I55" s="37" t="s">
        <v>88</v>
      </c>
      <c r="J55" s="33" t="s">
        <v>140</v>
      </c>
      <c r="K55" s="27" t="s">
        <v>111</v>
      </c>
      <c r="L55" s="27" t="s">
        <v>112</v>
      </c>
      <c r="M55" s="53"/>
      <c r="N55" s="54"/>
      <c r="O55" s="32"/>
    </row>
    <row r="56" spans="1:15" ht="26.25">
      <c r="A56" s="81">
        <v>21005</v>
      </c>
      <c r="B56" s="31" t="s">
        <v>474</v>
      </c>
      <c r="C56" s="33" t="s">
        <v>94</v>
      </c>
      <c r="D56" s="33" t="s">
        <v>15</v>
      </c>
      <c r="E56" s="33" t="s">
        <v>498</v>
      </c>
      <c r="F56" s="33"/>
      <c r="G56" s="37" t="s">
        <v>535</v>
      </c>
      <c r="H56" s="33" t="s">
        <v>15</v>
      </c>
      <c r="I56" s="37" t="s">
        <v>544</v>
      </c>
      <c r="J56" s="33" t="s">
        <v>140</v>
      </c>
      <c r="K56" s="27" t="s">
        <v>111</v>
      </c>
      <c r="L56" s="27" t="s">
        <v>112</v>
      </c>
      <c r="M56" s="53"/>
      <c r="N56" s="54"/>
      <c r="O56" s="32"/>
    </row>
    <row r="57" spans="1:15" ht="26.25">
      <c r="A57" s="81">
        <v>21006</v>
      </c>
      <c r="B57" s="31" t="s">
        <v>475</v>
      </c>
      <c r="C57" s="33" t="s">
        <v>94</v>
      </c>
      <c r="D57" s="33" t="s">
        <v>15</v>
      </c>
      <c r="E57" s="33" t="s">
        <v>499</v>
      </c>
      <c r="F57" s="33" t="s">
        <v>500</v>
      </c>
      <c r="G57" s="37" t="s">
        <v>536</v>
      </c>
      <c r="H57" s="33" t="s">
        <v>15</v>
      </c>
      <c r="I57" s="37" t="s">
        <v>545</v>
      </c>
      <c r="J57" s="33" t="s">
        <v>15</v>
      </c>
      <c r="K57" s="27" t="s">
        <v>111</v>
      </c>
      <c r="L57" s="27" t="s">
        <v>112</v>
      </c>
      <c r="M57" s="53"/>
      <c r="N57" s="54"/>
      <c r="O57" s="32"/>
    </row>
    <row r="58" spans="1:15" ht="26.25">
      <c r="A58" s="81">
        <v>21007</v>
      </c>
      <c r="B58" s="31" t="s">
        <v>476</v>
      </c>
      <c r="C58" s="33" t="s">
        <v>529</v>
      </c>
      <c r="D58" s="33"/>
      <c r="E58" s="33" t="s">
        <v>501</v>
      </c>
      <c r="F58" s="33" t="s">
        <v>502</v>
      </c>
      <c r="G58" s="37" t="s">
        <v>537</v>
      </c>
      <c r="H58" s="33" t="s">
        <v>15</v>
      </c>
      <c r="I58" s="37" t="s">
        <v>469</v>
      </c>
      <c r="J58" s="33" t="s">
        <v>139</v>
      </c>
      <c r="K58" s="27" t="s">
        <v>111</v>
      </c>
      <c r="L58" s="27" t="s">
        <v>112</v>
      </c>
      <c r="M58" s="53"/>
      <c r="N58" s="54"/>
      <c r="O58" s="32"/>
    </row>
    <row r="59" spans="1:15" ht="26.25">
      <c r="A59" s="81">
        <v>21008</v>
      </c>
      <c r="B59" s="31" t="s">
        <v>477</v>
      </c>
      <c r="C59" s="33" t="s">
        <v>90</v>
      </c>
      <c r="D59" s="33" t="s">
        <v>15</v>
      </c>
      <c r="E59" s="33" t="s">
        <v>503</v>
      </c>
      <c r="F59" s="33" t="s">
        <v>504</v>
      </c>
      <c r="G59" s="37" t="s">
        <v>538</v>
      </c>
      <c r="H59" s="33" t="s">
        <v>15</v>
      </c>
      <c r="I59" s="37" t="s">
        <v>546</v>
      </c>
      <c r="J59" s="33" t="s">
        <v>139</v>
      </c>
      <c r="K59" s="27" t="s">
        <v>111</v>
      </c>
      <c r="L59" s="27" t="s">
        <v>112</v>
      </c>
      <c r="M59" s="53"/>
      <c r="N59" s="54"/>
      <c r="O59" s="32"/>
    </row>
    <row r="60" spans="1:15" ht="26.25">
      <c r="A60" s="81">
        <v>21009</v>
      </c>
      <c r="B60" s="31" t="s">
        <v>478</v>
      </c>
      <c r="C60" s="33" t="s">
        <v>90</v>
      </c>
      <c r="D60" s="33" t="s">
        <v>15</v>
      </c>
      <c r="E60" s="33" t="s">
        <v>505</v>
      </c>
      <c r="F60" s="33" t="s">
        <v>506</v>
      </c>
      <c r="G60" s="37" t="s">
        <v>535</v>
      </c>
      <c r="H60" s="33" t="s">
        <v>15</v>
      </c>
      <c r="I60" s="37" t="s">
        <v>92</v>
      </c>
      <c r="J60" s="33" t="s">
        <v>15</v>
      </c>
      <c r="K60" s="27" t="s">
        <v>111</v>
      </c>
      <c r="L60" s="27" t="s">
        <v>112</v>
      </c>
      <c r="M60" s="53"/>
      <c r="N60" s="54"/>
      <c r="O60" s="32"/>
    </row>
    <row r="61" spans="1:15" ht="26.25">
      <c r="A61" s="81">
        <v>21010</v>
      </c>
      <c r="B61" s="31" t="s">
        <v>479</v>
      </c>
      <c r="C61" s="33" t="s">
        <v>530</v>
      </c>
      <c r="D61" s="33"/>
      <c r="E61" s="33" t="s">
        <v>507</v>
      </c>
      <c r="F61" s="33" t="s">
        <v>508</v>
      </c>
      <c r="G61" s="37" t="s">
        <v>92</v>
      </c>
      <c r="H61" s="33" t="s">
        <v>15</v>
      </c>
      <c r="I61" s="37" t="s">
        <v>547</v>
      </c>
      <c r="J61" s="33" t="s">
        <v>15</v>
      </c>
      <c r="K61" s="27" t="s">
        <v>111</v>
      </c>
      <c r="L61" s="27" t="s">
        <v>112</v>
      </c>
      <c r="M61" s="53"/>
      <c r="N61" s="54"/>
      <c r="O61" s="32"/>
    </row>
    <row r="62" spans="1:15" ht="26.25">
      <c r="A62" s="81">
        <v>21011</v>
      </c>
      <c r="B62" s="31" t="s">
        <v>480</v>
      </c>
      <c r="C62" s="33" t="s">
        <v>530</v>
      </c>
      <c r="D62" s="33"/>
      <c r="E62" s="33" t="s">
        <v>509</v>
      </c>
      <c r="F62" s="33" t="s">
        <v>510</v>
      </c>
      <c r="G62" s="37" t="s">
        <v>539</v>
      </c>
      <c r="H62" s="33" t="s">
        <v>140</v>
      </c>
      <c r="I62" s="37" t="s">
        <v>548</v>
      </c>
      <c r="J62" s="33" t="s">
        <v>15</v>
      </c>
      <c r="K62" s="27" t="s">
        <v>111</v>
      </c>
      <c r="L62" s="27" t="s">
        <v>112</v>
      </c>
      <c r="M62" s="53"/>
      <c r="N62" s="54"/>
      <c r="O62" s="32"/>
    </row>
    <row r="63" spans="1:15" ht="26.25">
      <c r="A63" s="81">
        <v>21012</v>
      </c>
      <c r="B63" s="31" t="s">
        <v>481</v>
      </c>
      <c r="C63" s="33" t="s">
        <v>469</v>
      </c>
      <c r="D63" s="33" t="s">
        <v>15</v>
      </c>
      <c r="E63" s="33" t="s">
        <v>511</v>
      </c>
      <c r="F63" s="33" t="s">
        <v>512</v>
      </c>
      <c r="G63" s="37" t="s">
        <v>90</v>
      </c>
      <c r="H63" s="33" t="s">
        <v>139</v>
      </c>
      <c r="I63" s="37" t="s">
        <v>548</v>
      </c>
      <c r="J63" s="33" t="s">
        <v>15</v>
      </c>
      <c r="K63" s="27" t="s">
        <v>111</v>
      </c>
      <c r="L63" s="27" t="s">
        <v>112</v>
      </c>
      <c r="M63" s="53"/>
      <c r="N63" s="54"/>
      <c r="O63" s="32"/>
    </row>
    <row r="64" spans="1:15" ht="26.25">
      <c r="A64" s="81">
        <v>21013</v>
      </c>
      <c r="B64" s="31" t="s">
        <v>482</v>
      </c>
      <c r="C64" s="33" t="s">
        <v>91</v>
      </c>
      <c r="D64" s="33" t="s">
        <v>15</v>
      </c>
      <c r="E64" s="33" t="s">
        <v>513</v>
      </c>
      <c r="F64" s="33" t="s">
        <v>514</v>
      </c>
      <c r="G64" s="37" t="s">
        <v>540</v>
      </c>
      <c r="H64" s="33" t="s">
        <v>140</v>
      </c>
      <c r="I64" s="37" t="s">
        <v>101</v>
      </c>
      <c r="J64" s="33" t="s">
        <v>139</v>
      </c>
      <c r="K64" s="27" t="s">
        <v>111</v>
      </c>
      <c r="L64" s="27" t="s">
        <v>112</v>
      </c>
      <c r="M64" s="53"/>
      <c r="N64" s="54"/>
      <c r="O64" s="32"/>
    </row>
    <row r="65" spans="1:15" ht="26.25">
      <c r="A65" s="81">
        <v>21014</v>
      </c>
      <c r="B65" s="31" t="s">
        <v>483</v>
      </c>
      <c r="C65" s="33" t="s">
        <v>91</v>
      </c>
      <c r="D65" s="33" t="s">
        <v>15</v>
      </c>
      <c r="E65" s="33" t="s">
        <v>515</v>
      </c>
      <c r="F65" s="33" t="s">
        <v>516</v>
      </c>
      <c r="G65" s="37" t="s">
        <v>541</v>
      </c>
      <c r="H65" s="33" t="s">
        <v>140</v>
      </c>
      <c r="I65" s="37" t="s">
        <v>540</v>
      </c>
      <c r="J65" s="33" t="s">
        <v>140</v>
      </c>
      <c r="K65" s="27" t="s">
        <v>111</v>
      </c>
      <c r="L65" s="27" t="s">
        <v>112</v>
      </c>
      <c r="M65" s="53"/>
      <c r="N65" s="54"/>
      <c r="O65" s="32"/>
    </row>
    <row r="66" spans="1:15" ht="26.25">
      <c r="A66" s="81">
        <v>21015</v>
      </c>
      <c r="B66" s="31" t="s">
        <v>484</v>
      </c>
      <c r="C66" s="33" t="s">
        <v>91</v>
      </c>
      <c r="D66" s="33" t="s">
        <v>15</v>
      </c>
      <c r="E66" s="33" t="s">
        <v>517</v>
      </c>
      <c r="F66" s="33" t="s">
        <v>518</v>
      </c>
      <c r="G66" s="37" t="s">
        <v>542</v>
      </c>
      <c r="H66" s="33" t="s">
        <v>139</v>
      </c>
      <c r="I66" s="37" t="s">
        <v>538</v>
      </c>
      <c r="J66" s="33" t="s">
        <v>140</v>
      </c>
      <c r="K66" s="27" t="s">
        <v>111</v>
      </c>
      <c r="L66" s="27" t="s">
        <v>112</v>
      </c>
      <c r="M66" s="53"/>
      <c r="N66" s="54"/>
      <c r="O66" s="32"/>
    </row>
    <row r="67" spans="1:15" ht="26.25">
      <c r="A67" s="81">
        <v>21016</v>
      </c>
      <c r="B67" s="31" t="s">
        <v>485</v>
      </c>
      <c r="C67" s="33" t="s">
        <v>106</v>
      </c>
      <c r="D67" s="33" t="s">
        <v>144</v>
      </c>
      <c r="E67" s="33" t="s">
        <v>519</v>
      </c>
      <c r="F67" s="33" t="s">
        <v>520</v>
      </c>
      <c r="G67" s="37" t="s">
        <v>543</v>
      </c>
      <c r="H67" s="33" t="s">
        <v>139</v>
      </c>
      <c r="I67" s="37" t="s">
        <v>540</v>
      </c>
      <c r="J67" s="33" t="s">
        <v>139</v>
      </c>
      <c r="K67" s="27" t="s">
        <v>111</v>
      </c>
      <c r="L67" s="27" t="s">
        <v>112</v>
      </c>
      <c r="M67" s="53"/>
      <c r="N67" s="54"/>
      <c r="O67" s="32"/>
    </row>
    <row r="68" spans="1:15" ht="26.25">
      <c r="A68" s="81">
        <v>21017</v>
      </c>
      <c r="B68" s="31" t="s">
        <v>486</v>
      </c>
      <c r="C68" s="33" t="s">
        <v>531</v>
      </c>
      <c r="D68" s="33"/>
      <c r="E68" s="33" t="s">
        <v>521</v>
      </c>
      <c r="F68" s="33" t="s">
        <v>522</v>
      </c>
      <c r="G68" s="37" t="s">
        <v>117</v>
      </c>
      <c r="H68" s="33" t="s">
        <v>140</v>
      </c>
      <c r="I68" s="37" t="s">
        <v>409</v>
      </c>
      <c r="J68" s="33" t="s">
        <v>139</v>
      </c>
      <c r="K68" s="27" t="s">
        <v>111</v>
      </c>
      <c r="L68" s="27" t="s">
        <v>112</v>
      </c>
      <c r="M68" s="53"/>
      <c r="N68" s="54"/>
      <c r="O68" s="32"/>
    </row>
    <row r="69" spans="1:15" ht="26.25">
      <c r="A69" s="81">
        <v>21018</v>
      </c>
      <c r="B69" s="31" t="s">
        <v>487</v>
      </c>
      <c r="C69" s="33" t="s">
        <v>532</v>
      </c>
      <c r="D69" s="33" t="s">
        <v>144</v>
      </c>
      <c r="E69" s="33" t="s">
        <v>523</v>
      </c>
      <c r="F69" s="33" t="s">
        <v>524</v>
      </c>
      <c r="G69" s="37" t="s">
        <v>81</v>
      </c>
      <c r="H69" s="33" t="s">
        <v>139</v>
      </c>
      <c r="I69" s="37" t="s">
        <v>467</v>
      </c>
      <c r="J69" s="33" t="s">
        <v>139</v>
      </c>
      <c r="K69" s="27" t="s">
        <v>111</v>
      </c>
      <c r="L69" s="27" t="s">
        <v>112</v>
      </c>
      <c r="M69" s="53"/>
      <c r="N69" s="54"/>
      <c r="O69" s="32"/>
    </row>
    <row r="70" spans="1:15" ht="26.25">
      <c r="A70" s="81">
        <v>21019</v>
      </c>
      <c r="B70" s="31" t="s">
        <v>488</v>
      </c>
      <c r="C70" s="33" t="s">
        <v>532</v>
      </c>
      <c r="D70" s="33" t="s">
        <v>144</v>
      </c>
      <c r="E70" s="33" t="s">
        <v>525</v>
      </c>
      <c r="F70" s="33" t="s">
        <v>526</v>
      </c>
      <c r="G70" s="37" t="s">
        <v>533</v>
      </c>
      <c r="H70" s="33" t="s">
        <v>15</v>
      </c>
      <c r="I70" s="37" t="s">
        <v>549</v>
      </c>
      <c r="J70" s="33" t="s">
        <v>15</v>
      </c>
      <c r="K70" s="27" t="s">
        <v>111</v>
      </c>
      <c r="L70" s="27" t="s">
        <v>112</v>
      </c>
      <c r="M70" s="53"/>
      <c r="N70" s="54"/>
      <c r="O70" s="32"/>
    </row>
    <row r="71" spans="1:15" ht="26.25">
      <c r="A71" s="81">
        <v>21020</v>
      </c>
      <c r="B71" s="31" t="s">
        <v>489</v>
      </c>
      <c r="C71" s="33" t="s">
        <v>109</v>
      </c>
      <c r="D71" s="33" t="s">
        <v>15</v>
      </c>
      <c r="E71" s="33" t="s">
        <v>527</v>
      </c>
      <c r="F71" s="33" t="s">
        <v>528</v>
      </c>
      <c r="G71" s="37" t="s">
        <v>81</v>
      </c>
      <c r="H71" s="33" t="s">
        <v>15</v>
      </c>
      <c r="I71" s="37" t="s">
        <v>540</v>
      </c>
      <c r="J71" s="33" t="s">
        <v>15</v>
      </c>
      <c r="K71" s="27" t="s">
        <v>111</v>
      </c>
      <c r="L71" s="27" t="s">
        <v>112</v>
      </c>
      <c r="M71" s="53"/>
      <c r="N71" s="54"/>
      <c r="O71" s="32"/>
    </row>
    <row r="72" spans="1:15" ht="26.25">
      <c r="A72" s="82">
        <v>31001</v>
      </c>
      <c r="B72" s="31" t="s">
        <v>415</v>
      </c>
      <c r="C72" s="33" t="s">
        <v>460</v>
      </c>
      <c r="D72" s="33" t="s">
        <v>144</v>
      </c>
      <c r="E72" s="33" t="s">
        <v>431</v>
      </c>
      <c r="F72" s="33" t="s">
        <v>432</v>
      </c>
      <c r="G72" s="33" t="s">
        <v>116</v>
      </c>
      <c r="H72" s="33" t="s">
        <v>15</v>
      </c>
      <c r="I72" s="27" t="s">
        <v>468</v>
      </c>
      <c r="J72" s="33" t="s">
        <v>15</v>
      </c>
      <c r="K72" s="27" t="s">
        <v>113</v>
      </c>
      <c r="L72" s="27" t="s">
        <v>114</v>
      </c>
      <c r="M72" s="53"/>
      <c r="N72" s="54"/>
      <c r="O72" s="32"/>
    </row>
    <row r="73" spans="1:15" ht="26.25">
      <c r="A73" s="82">
        <v>31002</v>
      </c>
      <c r="B73" s="31" t="s">
        <v>416</v>
      </c>
      <c r="C73" s="33" t="s">
        <v>104</v>
      </c>
      <c r="D73" s="33"/>
      <c r="E73" s="33" t="s">
        <v>433</v>
      </c>
      <c r="F73" s="33" t="s">
        <v>434</v>
      </c>
      <c r="G73" s="33" t="s">
        <v>50</v>
      </c>
      <c r="H73" s="33" t="s">
        <v>15</v>
      </c>
      <c r="I73" s="37" t="s">
        <v>544</v>
      </c>
      <c r="J73" s="33" t="s">
        <v>15</v>
      </c>
      <c r="K73" s="27" t="s">
        <v>113</v>
      </c>
      <c r="L73" s="27" t="s">
        <v>114</v>
      </c>
      <c r="M73" s="53"/>
      <c r="N73" s="54"/>
      <c r="O73" s="32"/>
    </row>
    <row r="74" spans="1:15" ht="26.25">
      <c r="A74" s="82">
        <v>31003</v>
      </c>
      <c r="B74" s="31" t="s">
        <v>417</v>
      </c>
      <c r="C74" s="33" t="s">
        <v>104</v>
      </c>
      <c r="D74" s="33"/>
      <c r="E74" s="33" t="s">
        <v>435</v>
      </c>
      <c r="F74" s="33" t="s">
        <v>436</v>
      </c>
      <c r="G74" s="33" t="s">
        <v>65</v>
      </c>
      <c r="H74" s="33" t="s">
        <v>15</v>
      </c>
      <c r="I74" s="27" t="s">
        <v>107</v>
      </c>
      <c r="J74" s="33" t="s">
        <v>15</v>
      </c>
      <c r="K74" s="27" t="s">
        <v>113</v>
      </c>
      <c r="L74" s="27" t="s">
        <v>114</v>
      </c>
      <c r="M74" s="53"/>
      <c r="N74" s="54"/>
      <c r="O74" s="32"/>
    </row>
    <row r="75" spans="1:15" ht="26.25">
      <c r="A75" s="82">
        <v>31004</v>
      </c>
      <c r="B75" s="31" t="s">
        <v>418</v>
      </c>
      <c r="C75" s="33" t="s">
        <v>69</v>
      </c>
      <c r="D75" s="33" t="s">
        <v>15</v>
      </c>
      <c r="E75" s="33" t="s">
        <v>437</v>
      </c>
      <c r="F75" s="33" t="s">
        <v>438</v>
      </c>
      <c r="G75" s="33" t="s">
        <v>465</v>
      </c>
      <c r="H75" s="33" t="s">
        <v>15</v>
      </c>
      <c r="I75" s="37" t="s">
        <v>547</v>
      </c>
      <c r="J75" s="33" t="s">
        <v>15</v>
      </c>
      <c r="K75" s="27" t="s">
        <v>113</v>
      </c>
      <c r="L75" s="27" t="s">
        <v>114</v>
      </c>
      <c r="M75" s="53"/>
      <c r="N75" s="54"/>
      <c r="O75" s="32"/>
    </row>
    <row r="76" spans="1:15" ht="26.25">
      <c r="A76" s="82">
        <v>31005</v>
      </c>
      <c r="B76" s="31" t="s">
        <v>419</v>
      </c>
      <c r="C76" s="33" t="s">
        <v>461</v>
      </c>
      <c r="D76" s="33" t="s">
        <v>15</v>
      </c>
      <c r="E76" s="33" t="s">
        <v>439</v>
      </c>
      <c r="F76" s="33" t="s">
        <v>440</v>
      </c>
      <c r="G76" s="33" t="s">
        <v>543</v>
      </c>
      <c r="H76" s="33" t="s">
        <v>15</v>
      </c>
      <c r="I76" s="27" t="s">
        <v>7</v>
      </c>
      <c r="J76" s="33" t="s">
        <v>15</v>
      </c>
      <c r="K76" s="27" t="s">
        <v>113</v>
      </c>
      <c r="L76" s="27" t="s">
        <v>114</v>
      </c>
      <c r="M76" s="53"/>
      <c r="N76" s="54"/>
      <c r="O76" s="32"/>
    </row>
    <row r="77" spans="1:15" ht="26.25">
      <c r="A77" s="82">
        <v>31006</v>
      </c>
      <c r="B77" s="31" t="s">
        <v>420</v>
      </c>
      <c r="C77" s="33" t="s">
        <v>461</v>
      </c>
      <c r="D77" s="33" t="s">
        <v>15</v>
      </c>
      <c r="E77" s="33" t="s">
        <v>441</v>
      </c>
      <c r="F77" s="33" t="s">
        <v>442</v>
      </c>
      <c r="G77" s="33" t="s">
        <v>96</v>
      </c>
      <c r="H77" s="33" t="s">
        <v>15</v>
      </c>
      <c r="I77" s="27" t="s">
        <v>104</v>
      </c>
      <c r="J77" s="33" t="s">
        <v>139</v>
      </c>
      <c r="K77" s="27" t="s">
        <v>113</v>
      </c>
      <c r="L77" s="27" t="s">
        <v>114</v>
      </c>
      <c r="M77" s="53"/>
      <c r="N77" s="54"/>
      <c r="O77" s="32"/>
    </row>
    <row r="78" spans="1:15" ht="26.25">
      <c r="A78" s="82">
        <v>31007</v>
      </c>
      <c r="B78" s="31" t="s">
        <v>421</v>
      </c>
      <c r="C78" s="33" t="s">
        <v>461</v>
      </c>
      <c r="D78" s="33" t="s">
        <v>15</v>
      </c>
      <c r="E78" s="33" t="s">
        <v>443</v>
      </c>
      <c r="F78" s="33" t="s">
        <v>444</v>
      </c>
      <c r="G78" s="33" t="s">
        <v>465</v>
      </c>
      <c r="H78" s="33" t="s">
        <v>140</v>
      </c>
      <c r="I78" s="27" t="s">
        <v>69</v>
      </c>
      <c r="J78" s="33" t="s">
        <v>139</v>
      </c>
      <c r="K78" s="27" t="s">
        <v>113</v>
      </c>
      <c r="L78" s="27" t="s">
        <v>114</v>
      </c>
      <c r="M78" s="53"/>
      <c r="N78" s="54"/>
      <c r="O78" s="32"/>
    </row>
    <row r="79" spans="1:15" ht="26.25">
      <c r="A79" s="82">
        <v>31008</v>
      </c>
      <c r="B79" s="31" t="s">
        <v>422</v>
      </c>
      <c r="C79" s="33" t="s">
        <v>462</v>
      </c>
      <c r="D79" s="33" t="s">
        <v>15</v>
      </c>
      <c r="E79" s="33" t="s">
        <v>445</v>
      </c>
      <c r="F79" s="33" t="s">
        <v>440</v>
      </c>
      <c r="G79" s="33" t="s">
        <v>466</v>
      </c>
      <c r="H79" s="33" t="s">
        <v>139</v>
      </c>
      <c r="I79" s="27" t="s">
        <v>98</v>
      </c>
      <c r="J79" s="33" t="s">
        <v>15</v>
      </c>
      <c r="K79" s="27" t="s">
        <v>113</v>
      </c>
      <c r="L79" s="27" t="s">
        <v>114</v>
      </c>
      <c r="M79" s="53"/>
      <c r="N79" s="54"/>
      <c r="O79" s="32"/>
    </row>
    <row r="80" spans="1:15" ht="26.25">
      <c r="A80" s="82">
        <v>31009</v>
      </c>
      <c r="B80" s="31" t="s">
        <v>423</v>
      </c>
      <c r="C80" s="33" t="s">
        <v>462</v>
      </c>
      <c r="D80" s="33" t="s">
        <v>15</v>
      </c>
      <c r="E80" s="33" t="s">
        <v>446</v>
      </c>
      <c r="F80" s="33" t="s">
        <v>447</v>
      </c>
      <c r="G80" s="33" t="s">
        <v>117</v>
      </c>
      <c r="H80" s="33" t="s">
        <v>139</v>
      </c>
      <c r="I80" s="27" t="s">
        <v>109</v>
      </c>
      <c r="J80" s="33" t="s">
        <v>15</v>
      </c>
      <c r="K80" s="27" t="s">
        <v>113</v>
      </c>
      <c r="L80" s="27" t="s">
        <v>114</v>
      </c>
      <c r="M80" s="53"/>
      <c r="N80" s="54"/>
      <c r="O80" s="32"/>
    </row>
    <row r="81" spans="1:15" ht="26.25">
      <c r="A81" s="82">
        <v>31010</v>
      </c>
      <c r="B81" s="31" t="s">
        <v>424</v>
      </c>
      <c r="C81" s="33" t="s">
        <v>462</v>
      </c>
      <c r="D81" s="33" t="s">
        <v>15</v>
      </c>
      <c r="E81" s="33" t="s">
        <v>448</v>
      </c>
      <c r="F81" s="33" t="s">
        <v>449</v>
      </c>
      <c r="G81" s="33" t="s">
        <v>88</v>
      </c>
      <c r="H81" s="33" t="s">
        <v>15</v>
      </c>
      <c r="I81" s="27" t="s">
        <v>460</v>
      </c>
      <c r="J81" s="33" t="s">
        <v>15</v>
      </c>
      <c r="K81" s="27" t="s">
        <v>113</v>
      </c>
      <c r="L81" s="27" t="s">
        <v>114</v>
      </c>
      <c r="M81" s="53"/>
      <c r="N81" s="54"/>
      <c r="O81" s="32"/>
    </row>
    <row r="82" spans="1:15" ht="26.25">
      <c r="A82" s="82">
        <v>31011</v>
      </c>
      <c r="B82" s="31" t="s">
        <v>425</v>
      </c>
      <c r="C82" s="33" t="s">
        <v>463</v>
      </c>
      <c r="D82" s="33" t="s">
        <v>15</v>
      </c>
      <c r="E82" s="33" t="s">
        <v>450</v>
      </c>
      <c r="F82" s="33" t="s">
        <v>451</v>
      </c>
      <c r="G82" s="33" t="s">
        <v>467</v>
      </c>
      <c r="H82" s="33" t="s">
        <v>15</v>
      </c>
      <c r="I82" s="27" t="s">
        <v>60</v>
      </c>
      <c r="J82" s="33" t="s">
        <v>15</v>
      </c>
      <c r="K82" s="27" t="s">
        <v>113</v>
      </c>
      <c r="L82" s="27" t="s">
        <v>114</v>
      </c>
      <c r="M82" s="53"/>
      <c r="N82" s="54"/>
      <c r="O82" s="32"/>
    </row>
    <row r="83" spans="1:15" ht="26.25">
      <c r="A83" s="82">
        <v>31012</v>
      </c>
      <c r="B83" s="31" t="s">
        <v>426</v>
      </c>
      <c r="C83" s="33" t="s">
        <v>109</v>
      </c>
      <c r="D83" s="33" t="s">
        <v>15</v>
      </c>
      <c r="E83" s="33" t="s">
        <v>452</v>
      </c>
      <c r="F83" s="33" t="s">
        <v>453</v>
      </c>
      <c r="G83" s="33" t="s">
        <v>465</v>
      </c>
      <c r="H83" s="33" t="s">
        <v>15</v>
      </c>
      <c r="I83" s="27" t="s">
        <v>110</v>
      </c>
      <c r="J83" s="33" t="s">
        <v>139</v>
      </c>
      <c r="K83" s="27" t="s">
        <v>113</v>
      </c>
      <c r="L83" s="27" t="s">
        <v>114</v>
      </c>
      <c r="M83" s="53"/>
      <c r="N83" s="54"/>
      <c r="O83" s="32"/>
    </row>
    <row r="84" spans="1:15" ht="26.25">
      <c r="A84" s="82">
        <v>31013</v>
      </c>
      <c r="B84" s="31" t="s">
        <v>427</v>
      </c>
      <c r="C84" s="33" t="s">
        <v>109</v>
      </c>
      <c r="D84" s="33" t="s">
        <v>15</v>
      </c>
      <c r="E84" s="33" t="s">
        <v>454</v>
      </c>
      <c r="F84" s="33" t="s">
        <v>455</v>
      </c>
      <c r="G84" s="33" t="s">
        <v>98</v>
      </c>
      <c r="H84" s="33" t="s">
        <v>139</v>
      </c>
      <c r="I84" s="37" t="s">
        <v>392</v>
      </c>
      <c r="J84" s="33" t="s">
        <v>139</v>
      </c>
      <c r="K84" s="27" t="s">
        <v>113</v>
      </c>
      <c r="L84" s="27" t="s">
        <v>114</v>
      </c>
      <c r="M84" s="53"/>
      <c r="N84" s="54"/>
      <c r="O84" s="32"/>
    </row>
    <row r="85" spans="1:15" ht="26.25">
      <c r="A85" s="82">
        <v>31014</v>
      </c>
      <c r="B85" s="31" t="s">
        <v>428</v>
      </c>
      <c r="C85" s="33" t="s">
        <v>464</v>
      </c>
      <c r="D85" s="33" t="s">
        <v>15</v>
      </c>
      <c r="E85" s="33" t="s">
        <v>456</v>
      </c>
      <c r="F85" s="33" t="s">
        <v>290</v>
      </c>
      <c r="G85" s="33" t="s">
        <v>63</v>
      </c>
      <c r="H85" s="33" t="s">
        <v>15</v>
      </c>
      <c r="I85" s="27" t="s">
        <v>469</v>
      </c>
      <c r="J85" s="33" t="s">
        <v>139</v>
      </c>
      <c r="K85" s="27" t="s">
        <v>113</v>
      </c>
      <c r="L85" s="27" t="s">
        <v>114</v>
      </c>
      <c r="M85" s="53"/>
      <c r="N85" s="54"/>
      <c r="O85" s="32"/>
    </row>
    <row r="86" spans="1:15" ht="26.25">
      <c r="A86" s="82">
        <v>31015</v>
      </c>
      <c r="B86" s="31" t="s">
        <v>429</v>
      </c>
      <c r="C86" s="33" t="s">
        <v>115</v>
      </c>
      <c r="D86" s="33" t="s">
        <v>15</v>
      </c>
      <c r="E86" s="33" t="s">
        <v>457</v>
      </c>
      <c r="F86" s="33" t="s">
        <v>458</v>
      </c>
      <c r="G86" s="33" t="s">
        <v>104</v>
      </c>
      <c r="H86" s="33" t="s">
        <v>15</v>
      </c>
      <c r="I86" s="27" t="s">
        <v>108</v>
      </c>
      <c r="J86" s="33" t="s">
        <v>15</v>
      </c>
      <c r="K86" s="27" t="s">
        <v>113</v>
      </c>
      <c r="L86" s="27" t="s">
        <v>114</v>
      </c>
      <c r="M86" s="53"/>
      <c r="N86" s="54"/>
      <c r="O86" s="32"/>
    </row>
    <row r="87" spans="1:15" ht="26.25">
      <c r="A87" s="82">
        <v>31016</v>
      </c>
      <c r="B87" s="31" t="s">
        <v>430</v>
      </c>
      <c r="C87" s="33" t="s">
        <v>99</v>
      </c>
      <c r="D87" s="33"/>
      <c r="E87" s="33" t="s">
        <v>459</v>
      </c>
      <c r="F87" s="33"/>
      <c r="G87" s="33"/>
      <c r="H87" s="33" t="s">
        <v>15</v>
      </c>
      <c r="I87" s="27"/>
      <c r="J87" s="33" t="s">
        <v>140</v>
      </c>
      <c r="K87" s="27" t="s">
        <v>113</v>
      </c>
      <c r="L87" s="27" t="s">
        <v>114</v>
      </c>
      <c r="M87" s="53"/>
      <c r="N87" s="54"/>
      <c r="O87" s="32"/>
    </row>
  </sheetData>
  <sortState xmlns:xlrd2="http://schemas.microsoft.com/office/spreadsheetml/2017/richdata2" ref="A3:O87">
    <sortCondition ref="A3:A87"/>
  </sortState>
  <dataValidations count="1">
    <dataValidation type="list" allowBlank="1" showInputMessage="1" showErrorMessage="1" sqref="G27 G46 G31:G33 G25 G44 G38:G39" xr:uid="{00000000-0002-0000-0000-000000000000}">
      <formula1>#REF!</formula1>
    </dataValidation>
  </dataValidations>
  <pageMargins left="0.7" right="0.7" top="0.75" bottom="0.75" header="0.3" footer="0.3"/>
  <pageSetup paperSize="9" orientation="landscape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5:T87"/>
  <sheetViews>
    <sheetView rightToLeft="1" topLeftCell="A41" zoomScale="90" zoomScaleNormal="90" workbookViewId="0">
      <selection activeCell="A17" sqref="A17"/>
    </sheetView>
  </sheetViews>
  <sheetFormatPr baseColWidth="10" defaultColWidth="11.42578125" defaultRowHeight="15"/>
  <cols>
    <col min="1" max="1" width="7.85546875" customWidth="1"/>
    <col min="2" max="2" width="20.5703125" customWidth="1"/>
    <col min="3" max="3" width="18" customWidth="1"/>
    <col min="4" max="7" width="5.7109375" customWidth="1"/>
    <col min="8" max="8" width="5.7109375" style="50" customWidth="1"/>
    <col min="9" max="12" width="5.7109375" customWidth="1"/>
    <col min="13" max="13" width="5.7109375" style="50" customWidth="1"/>
    <col min="14" max="17" width="5.7109375" customWidth="1"/>
    <col min="18" max="18" width="5.7109375" style="50" customWidth="1"/>
    <col min="19" max="19" width="16" style="35" customWidth="1"/>
  </cols>
  <sheetData>
    <row r="5" spans="1:20" ht="22.5">
      <c r="A5" s="85" t="s">
        <v>132</v>
      </c>
      <c r="B5" s="85" t="s">
        <v>30</v>
      </c>
      <c r="C5" s="85" t="s">
        <v>5</v>
      </c>
      <c r="D5" s="87" t="s">
        <v>128</v>
      </c>
      <c r="E5" s="88"/>
      <c r="F5" s="88"/>
      <c r="G5" s="88"/>
      <c r="H5" s="89"/>
      <c r="I5" s="87" t="s">
        <v>129</v>
      </c>
      <c r="J5" s="88"/>
      <c r="K5" s="88"/>
      <c r="L5" s="88"/>
      <c r="M5" s="89"/>
      <c r="N5" s="87" t="s">
        <v>130</v>
      </c>
      <c r="O5" s="88"/>
      <c r="P5" s="88"/>
      <c r="Q5" s="88"/>
      <c r="R5" s="89"/>
      <c r="S5" s="90" t="s">
        <v>131</v>
      </c>
    </row>
    <row r="6" spans="1:20" ht="22.5" customHeight="1">
      <c r="A6" s="86"/>
      <c r="B6" s="86"/>
      <c r="C6" s="92"/>
      <c r="D6" s="43" t="s">
        <v>248</v>
      </c>
      <c r="E6" s="43" t="s">
        <v>249</v>
      </c>
      <c r="F6" s="43" t="s">
        <v>250</v>
      </c>
      <c r="G6" s="43" t="s">
        <v>251</v>
      </c>
      <c r="H6" s="47" t="s">
        <v>253</v>
      </c>
      <c r="I6" s="43" t="s">
        <v>248</v>
      </c>
      <c r="J6" s="43" t="s">
        <v>249</v>
      </c>
      <c r="K6" s="43" t="s">
        <v>250</v>
      </c>
      <c r="L6" s="43" t="s">
        <v>251</v>
      </c>
      <c r="M6" s="51" t="s">
        <v>253</v>
      </c>
      <c r="N6" s="43" t="s">
        <v>248</v>
      </c>
      <c r="O6" s="43" t="s">
        <v>249</v>
      </c>
      <c r="P6" s="43" t="s">
        <v>250</v>
      </c>
      <c r="Q6" s="43" t="s">
        <v>251</v>
      </c>
      <c r="R6" s="47" t="s">
        <v>253</v>
      </c>
      <c r="S6" s="91"/>
    </row>
    <row r="7" spans="1:20" ht="22.5" customHeight="1">
      <c r="A7" s="40"/>
      <c r="B7" s="40"/>
      <c r="C7" s="40"/>
      <c r="D7" s="44"/>
      <c r="E7" s="44"/>
      <c r="F7" s="44"/>
      <c r="G7" s="44"/>
      <c r="H7" s="48"/>
      <c r="I7" s="44"/>
      <c r="J7" s="44"/>
      <c r="K7" s="44"/>
      <c r="L7" s="44"/>
      <c r="M7" s="48"/>
      <c r="N7" s="44"/>
      <c r="O7" s="44"/>
      <c r="P7" s="44"/>
      <c r="Q7" s="44"/>
      <c r="R7" s="48"/>
      <c r="S7" s="45"/>
    </row>
    <row r="8" spans="1:20" ht="23.25">
      <c r="A8" s="26">
        <v>5</v>
      </c>
      <c r="B8" s="22" t="s">
        <v>79</v>
      </c>
      <c r="C8" s="22" t="s">
        <v>9</v>
      </c>
      <c r="D8" s="22"/>
      <c r="E8" s="22"/>
      <c r="F8" s="22"/>
      <c r="G8" s="22"/>
      <c r="H8" s="49">
        <f t="shared" ref="H8:H39" si="0">SUM(D8:G8)</f>
        <v>0</v>
      </c>
      <c r="I8" s="22">
        <v>1</v>
      </c>
      <c r="J8" s="22">
        <v>2</v>
      </c>
      <c r="K8" s="22"/>
      <c r="L8" s="22"/>
      <c r="M8" s="49">
        <f t="shared" ref="M8:M39" si="1">SUM(I8:L8)</f>
        <v>3</v>
      </c>
      <c r="N8" s="22"/>
      <c r="O8" s="22">
        <v>2</v>
      </c>
      <c r="P8" s="22"/>
      <c r="Q8" s="22"/>
      <c r="R8" s="49">
        <f t="shared" ref="R8:R39" si="2">SUM(N8:Q8)</f>
        <v>2</v>
      </c>
      <c r="S8" s="52">
        <f t="shared" ref="S8:S39" si="3">SUM(R8,M8,H8)</f>
        <v>5</v>
      </c>
      <c r="T8">
        <v>1</v>
      </c>
    </row>
    <row r="9" spans="1:20" ht="23.25">
      <c r="A9" s="26">
        <v>8</v>
      </c>
      <c r="B9" s="22" t="s">
        <v>48</v>
      </c>
      <c r="C9" s="22" t="s">
        <v>9</v>
      </c>
      <c r="D9" s="22">
        <v>4</v>
      </c>
      <c r="E9" s="22"/>
      <c r="F9" s="22"/>
      <c r="G9" s="22"/>
      <c r="H9" s="49">
        <f t="shared" si="0"/>
        <v>4</v>
      </c>
      <c r="I9" s="22"/>
      <c r="J9" s="22">
        <v>1</v>
      </c>
      <c r="K9" s="22"/>
      <c r="L9" s="22"/>
      <c r="M9" s="49">
        <f t="shared" si="1"/>
        <v>1</v>
      </c>
      <c r="N9" s="22"/>
      <c r="O9" s="22"/>
      <c r="P9" s="22"/>
      <c r="Q9" s="22"/>
      <c r="R9" s="49">
        <f t="shared" si="2"/>
        <v>0</v>
      </c>
      <c r="S9" s="52">
        <f t="shared" si="3"/>
        <v>5</v>
      </c>
      <c r="T9">
        <v>2</v>
      </c>
    </row>
    <row r="10" spans="1:20" ht="23.25">
      <c r="A10" s="26">
        <v>14</v>
      </c>
      <c r="B10" s="22" t="s">
        <v>71</v>
      </c>
      <c r="C10" s="22" t="s">
        <v>9</v>
      </c>
      <c r="D10" s="22"/>
      <c r="E10" s="22"/>
      <c r="F10" s="22"/>
      <c r="G10" s="22"/>
      <c r="H10" s="49">
        <f t="shared" si="0"/>
        <v>0</v>
      </c>
      <c r="I10" s="22">
        <v>2</v>
      </c>
      <c r="J10" s="22">
        <v>1</v>
      </c>
      <c r="K10" s="22"/>
      <c r="L10" s="22"/>
      <c r="M10" s="49">
        <f t="shared" si="1"/>
        <v>3</v>
      </c>
      <c r="N10" s="22">
        <v>2</v>
      </c>
      <c r="O10" s="22"/>
      <c r="P10" s="22"/>
      <c r="Q10" s="22"/>
      <c r="R10" s="49">
        <f t="shared" si="2"/>
        <v>2</v>
      </c>
      <c r="S10" s="52">
        <f t="shared" si="3"/>
        <v>5</v>
      </c>
      <c r="T10">
        <v>3</v>
      </c>
    </row>
    <row r="11" spans="1:20" ht="23.25">
      <c r="A11" s="26">
        <v>15</v>
      </c>
      <c r="B11" s="22" t="s">
        <v>66</v>
      </c>
      <c r="C11" s="22" t="s">
        <v>9</v>
      </c>
      <c r="D11" s="22"/>
      <c r="E11" s="22"/>
      <c r="F11" s="22"/>
      <c r="G11" s="22"/>
      <c r="H11" s="49">
        <f t="shared" si="0"/>
        <v>0</v>
      </c>
      <c r="I11" s="22">
        <v>1</v>
      </c>
      <c r="J11" s="22">
        <v>2</v>
      </c>
      <c r="K11" s="22"/>
      <c r="L11" s="22"/>
      <c r="M11" s="49">
        <f t="shared" si="1"/>
        <v>3</v>
      </c>
      <c r="N11" s="22"/>
      <c r="O11" s="22">
        <v>2</v>
      </c>
      <c r="P11" s="22"/>
      <c r="Q11" s="22"/>
      <c r="R11" s="49">
        <f t="shared" si="2"/>
        <v>2</v>
      </c>
      <c r="S11" s="52">
        <f t="shared" si="3"/>
        <v>5</v>
      </c>
      <c r="T11">
        <v>4</v>
      </c>
    </row>
    <row r="12" spans="1:20" ht="23.25">
      <c r="A12" s="26">
        <v>24</v>
      </c>
      <c r="B12" s="22" t="s">
        <v>11</v>
      </c>
      <c r="C12" s="22" t="s">
        <v>9</v>
      </c>
      <c r="D12" s="22"/>
      <c r="E12" s="22"/>
      <c r="F12" s="22"/>
      <c r="G12" s="22"/>
      <c r="H12" s="49">
        <f t="shared" si="0"/>
        <v>0</v>
      </c>
      <c r="I12" s="22">
        <v>1</v>
      </c>
      <c r="J12" s="22">
        <v>1</v>
      </c>
      <c r="K12" s="22"/>
      <c r="L12" s="22"/>
      <c r="M12" s="49">
        <f t="shared" si="1"/>
        <v>2</v>
      </c>
      <c r="N12" s="22">
        <v>1</v>
      </c>
      <c r="O12" s="22">
        <v>2</v>
      </c>
      <c r="P12" s="22"/>
      <c r="Q12" s="22"/>
      <c r="R12" s="49">
        <f t="shared" si="2"/>
        <v>3</v>
      </c>
      <c r="S12" s="52">
        <f t="shared" si="3"/>
        <v>5</v>
      </c>
      <c r="T12">
        <v>5</v>
      </c>
    </row>
    <row r="13" spans="1:20" ht="23.25">
      <c r="A13" s="26">
        <v>28</v>
      </c>
      <c r="B13" s="22" t="s">
        <v>58</v>
      </c>
      <c r="C13" s="22" t="s">
        <v>9</v>
      </c>
      <c r="D13" s="22"/>
      <c r="E13" s="22">
        <v>3</v>
      </c>
      <c r="F13" s="22"/>
      <c r="G13" s="22"/>
      <c r="H13" s="49">
        <f t="shared" si="0"/>
        <v>3</v>
      </c>
      <c r="I13" s="22"/>
      <c r="J13" s="22">
        <v>2</v>
      </c>
      <c r="K13" s="22"/>
      <c r="L13" s="22"/>
      <c r="M13" s="49">
        <f t="shared" si="1"/>
        <v>2</v>
      </c>
      <c r="N13" s="22"/>
      <c r="O13" s="22"/>
      <c r="P13" s="22"/>
      <c r="Q13" s="22"/>
      <c r="R13" s="49">
        <f t="shared" si="2"/>
        <v>0</v>
      </c>
      <c r="S13" s="52">
        <f t="shared" si="3"/>
        <v>5</v>
      </c>
      <c r="T13">
        <v>6</v>
      </c>
    </row>
    <row r="14" spans="1:20" ht="23.25">
      <c r="A14" s="26">
        <v>30</v>
      </c>
      <c r="B14" s="22" t="s">
        <v>80</v>
      </c>
      <c r="C14" s="22" t="s">
        <v>9</v>
      </c>
      <c r="D14" s="22"/>
      <c r="E14" s="22">
        <v>3</v>
      </c>
      <c r="F14" s="22"/>
      <c r="G14" s="22"/>
      <c r="H14" s="49">
        <f t="shared" si="0"/>
        <v>3</v>
      </c>
      <c r="I14" s="22"/>
      <c r="J14" s="22">
        <v>1</v>
      </c>
      <c r="K14" s="22"/>
      <c r="L14" s="22"/>
      <c r="M14" s="49">
        <f t="shared" si="1"/>
        <v>1</v>
      </c>
      <c r="N14" s="22"/>
      <c r="O14" s="22">
        <v>1</v>
      </c>
      <c r="P14" s="22"/>
      <c r="Q14" s="22"/>
      <c r="R14" s="49">
        <f t="shared" si="2"/>
        <v>1</v>
      </c>
      <c r="S14" s="52">
        <f t="shared" si="3"/>
        <v>5</v>
      </c>
      <c r="T14">
        <v>7</v>
      </c>
    </row>
    <row r="15" spans="1:20" ht="23.25">
      <c r="A15" s="26">
        <v>39</v>
      </c>
      <c r="B15" s="22" t="s">
        <v>7</v>
      </c>
      <c r="C15" s="22" t="s">
        <v>9</v>
      </c>
      <c r="D15" s="22">
        <v>3</v>
      </c>
      <c r="E15" s="22"/>
      <c r="F15" s="22"/>
      <c r="G15" s="22"/>
      <c r="H15" s="49">
        <f t="shared" si="0"/>
        <v>3</v>
      </c>
      <c r="I15" s="22">
        <v>1</v>
      </c>
      <c r="J15" s="22"/>
      <c r="K15" s="22"/>
      <c r="L15" s="22"/>
      <c r="M15" s="49">
        <f t="shared" si="1"/>
        <v>1</v>
      </c>
      <c r="N15" s="22"/>
      <c r="O15" s="22"/>
      <c r="P15" s="22"/>
      <c r="Q15" s="22">
        <v>1</v>
      </c>
      <c r="R15" s="49">
        <f t="shared" si="2"/>
        <v>1</v>
      </c>
      <c r="S15" s="52">
        <f t="shared" si="3"/>
        <v>5</v>
      </c>
      <c r="T15">
        <v>8</v>
      </c>
    </row>
    <row r="16" spans="1:20" ht="23.25">
      <c r="A16" s="26">
        <v>46</v>
      </c>
      <c r="B16" s="22" t="s">
        <v>408</v>
      </c>
      <c r="C16" s="22" t="s">
        <v>9</v>
      </c>
      <c r="D16" s="22"/>
      <c r="E16" s="22"/>
      <c r="F16" s="22"/>
      <c r="G16" s="22"/>
      <c r="H16" s="49">
        <f t="shared" si="0"/>
        <v>0</v>
      </c>
      <c r="I16" s="22"/>
      <c r="J16" s="22"/>
      <c r="K16" s="22"/>
      <c r="L16" s="22"/>
      <c r="M16" s="49">
        <f t="shared" si="1"/>
        <v>0</v>
      </c>
      <c r="N16" s="22">
        <v>4</v>
      </c>
      <c r="O16" s="22">
        <v>1</v>
      </c>
      <c r="P16" s="22"/>
      <c r="Q16" s="22"/>
      <c r="R16" s="49">
        <f t="shared" si="2"/>
        <v>5</v>
      </c>
      <c r="S16" s="52">
        <f t="shared" si="3"/>
        <v>5</v>
      </c>
      <c r="T16">
        <v>9</v>
      </c>
    </row>
    <row r="17" spans="1:20" ht="23.25">
      <c r="A17" s="26">
        <v>77</v>
      </c>
      <c r="B17" s="22" t="s">
        <v>551</v>
      </c>
      <c r="C17" s="22" t="s">
        <v>9</v>
      </c>
      <c r="D17" s="22"/>
      <c r="E17" s="22"/>
      <c r="F17" s="22"/>
      <c r="G17" s="22"/>
      <c r="H17" s="49">
        <f t="shared" si="0"/>
        <v>0</v>
      </c>
      <c r="I17" s="22"/>
      <c r="J17" s="22"/>
      <c r="K17" s="22"/>
      <c r="L17" s="22"/>
      <c r="M17" s="49">
        <f t="shared" si="1"/>
        <v>0</v>
      </c>
      <c r="N17" s="22">
        <v>3</v>
      </c>
      <c r="O17" s="22">
        <v>2</v>
      </c>
      <c r="P17" s="22"/>
      <c r="Q17" s="22"/>
      <c r="R17" s="49">
        <f t="shared" si="2"/>
        <v>5</v>
      </c>
      <c r="S17" s="52">
        <f t="shared" si="3"/>
        <v>5</v>
      </c>
      <c r="T17">
        <v>10</v>
      </c>
    </row>
    <row r="18" spans="1:20" ht="23.25">
      <c r="A18" s="26">
        <v>61</v>
      </c>
      <c r="B18" s="22" t="s">
        <v>60</v>
      </c>
      <c r="C18" s="22" t="s">
        <v>9</v>
      </c>
      <c r="D18" s="22"/>
      <c r="E18" s="22"/>
      <c r="F18" s="22"/>
      <c r="G18" s="22"/>
      <c r="H18" s="49">
        <f t="shared" si="0"/>
        <v>0</v>
      </c>
      <c r="I18" s="22">
        <v>1</v>
      </c>
      <c r="J18" s="22">
        <v>1</v>
      </c>
      <c r="K18" s="22"/>
      <c r="L18" s="22"/>
      <c r="M18" s="49">
        <f t="shared" si="1"/>
        <v>2</v>
      </c>
      <c r="N18" s="22">
        <v>1</v>
      </c>
      <c r="O18" s="22">
        <v>1</v>
      </c>
      <c r="P18" s="22"/>
      <c r="Q18" s="22">
        <v>1</v>
      </c>
      <c r="R18" s="49">
        <f t="shared" si="2"/>
        <v>3</v>
      </c>
      <c r="S18" s="52">
        <f t="shared" si="3"/>
        <v>5</v>
      </c>
      <c r="T18">
        <v>11</v>
      </c>
    </row>
    <row r="19" spans="1:20" ht="23.25">
      <c r="A19" s="26">
        <v>65</v>
      </c>
      <c r="B19" s="22" t="s">
        <v>63</v>
      </c>
      <c r="C19" s="22" t="s">
        <v>9</v>
      </c>
      <c r="D19" s="22"/>
      <c r="E19" s="22"/>
      <c r="F19" s="22"/>
      <c r="G19" s="22"/>
      <c r="H19" s="49">
        <f t="shared" si="0"/>
        <v>0</v>
      </c>
      <c r="I19" s="22">
        <v>1</v>
      </c>
      <c r="J19" s="22">
        <v>1</v>
      </c>
      <c r="K19" s="22"/>
      <c r="L19" s="22">
        <v>1</v>
      </c>
      <c r="M19" s="49">
        <f t="shared" si="1"/>
        <v>3</v>
      </c>
      <c r="N19" s="22">
        <v>1</v>
      </c>
      <c r="O19" s="22">
        <v>1</v>
      </c>
      <c r="P19" s="22"/>
      <c r="Q19" s="22"/>
      <c r="R19" s="49">
        <f t="shared" si="2"/>
        <v>2</v>
      </c>
      <c r="S19" s="52">
        <f t="shared" si="3"/>
        <v>5</v>
      </c>
      <c r="T19">
        <v>12</v>
      </c>
    </row>
    <row r="20" spans="1:20" ht="23.25">
      <c r="A20" s="26">
        <v>1</v>
      </c>
      <c r="B20" s="22" t="s">
        <v>143</v>
      </c>
      <c r="C20" s="22" t="s">
        <v>9</v>
      </c>
      <c r="D20" s="22"/>
      <c r="E20" s="22"/>
      <c r="F20" s="22"/>
      <c r="G20" s="22"/>
      <c r="H20" s="49">
        <f t="shared" si="0"/>
        <v>0</v>
      </c>
      <c r="I20" s="22"/>
      <c r="J20" s="22">
        <v>1</v>
      </c>
      <c r="K20" s="22"/>
      <c r="L20" s="22"/>
      <c r="M20" s="49">
        <f t="shared" si="1"/>
        <v>1</v>
      </c>
      <c r="N20" s="22">
        <v>1</v>
      </c>
      <c r="O20" s="22">
        <v>2</v>
      </c>
      <c r="P20" s="22"/>
      <c r="Q20" s="22"/>
      <c r="R20" s="49">
        <f t="shared" si="2"/>
        <v>3</v>
      </c>
      <c r="S20" s="52">
        <f t="shared" si="3"/>
        <v>4</v>
      </c>
      <c r="T20">
        <v>13</v>
      </c>
    </row>
    <row r="21" spans="1:20" ht="23.25">
      <c r="A21" s="26">
        <v>2</v>
      </c>
      <c r="B21" s="22" t="s">
        <v>8</v>
      </c>
      <c r="C21" s="22" t="s">
        <v>9</v>
      </c>
      <c r="D21" s="22">
        <v>2</v>
      </c>
      <c r="E21" s="22"/>
      <c r="F21" s="22"/>
      <c r="G21" s="22"/>
      <c r="H21" s="49">
        <f t="shared" si="0"/>
        <v>2</v>
      </c>
      <c r="I21" s="22">
        <v>1</v>
      </c>
      <c r="J21" s="22"/>
      <c r="K21" s="22"/>
      <c r="L21" s="22"/>
      <c r="M21" s="49">
        <f t="shared" si="1"/>
        <v>1</v>
      </c>
      <c r="N21" s="22"/>
      <c r="O21" s="22">
        <v>1</v>
      </c>
      <c r="P21" s="22"/>
      <c r="Q21" s="22"/>
      <c r="R21" s="49">
        <f t="shared" si="2"/>
        <v>1</v>
      </c>
      <c r="S21" s="52">
        <f t="shared" si="3"/>
        <v>4</v>
      </c>
      <c r="T21">
        <v>14</v>
      </c>
    </row>
    <row r="22" spans="1:20" ht="23.25">
      <c r="A22" s="26">
        <v>9</v>
      </c>
      <c r="B22" s="22" t="s">
        <v>134</v>
      </c>
      <c r="C22" s="22" t="s">
        <v>9</v>
      </c>
      <c r="D22" s="22">
        <v>1</v>
      </c>
      <c r="E22" s="22">
        <v>2</v>
      </c>
      <c r="F22" s="22"/>
      <c r="G22" s="22"/>
      <c r="H22" s="49">
        <f t="shared" si="0"/>
        <v>3</v>
      </c>
      <c r="I22" s="22"/>
      <c r="J22" s="22">
        <v>1</v>
      </c>
      <c r="K22" s="22"/>
      <c r="L22" s="22"/>
      <c r="M22" s="49">
        <f t="shared" si="1"/>
        <v>1</v>
      </c>
      <c r="N22" s="22"/>
      <c r="O22" s="22"/>
      <c r="P22" s="22"/>
      <c r="Q22" s="22"/>
      <c r="R22" s="49">
        <f t="shared" si="2"/>
        <v>0</v>
      </c>
      <c r="S22" s="52">
        <f t="shared" si="3"/>
        <v>4</v>
      </c>
      <c r="T22">
        <v>15</v>
      </c>
    </row>
    <row r="23" spans="1:20" ht="23.25">
      <c r="A23" s="26">
        <v>12</v>
      </c>
      <c r="B23" s="22" t="s">
        <v>61</v>
      </c>
      <c r="C23" s="22" t="s">
        <v>9</v>
      </c>
      <c r="D23" s="22">
        <v>2</v>
      </c>
      <c r="E23" s="22"/>
      <c r="F23" s="22"/>
      <c r="G23" s="22"/>
      <c r="H23" s="49">
        <f t="shared" si="0"/>
        <v>2</v>
      </c>
      <c r="I23" s="22">
        <v>2</v>
      </c>
      <c r="J23" s="22"/>
      <c r="K23" s="22"/>
      <c r="L23" s="22"/>
      <c r="M23" s="49">
        <f t="shared" si="1"/>
        <v>2</v>
      </c>
      <c r="N23" s="22"/>
      <c r="O23" s="22"/>
      <c r="P23" s="22"/>
      <c r="Q23" s="22"/>
      <c r="R23" s="49">
        <f t="shared" si="2"/>
        <v>0</v>
      </c>
      <c r="S23" s="52">
        <f t="shared" si="3"/>
        <v>4</v>
      </c>
      <c r="T23">
        <v>16</v>
      </c>
    </row>
    <row r="24" spans="1:20" ht="23.25">
      <c r="A24" s="26">
        <v>17</v>
      </c>
      <c r="B24" s="22" t="s">
        <v>135</v>
      </c>
      <c r="C24" s="22" t="s">
        <v>9</v>
      </c>
      <c r="D24" s="22"/>
      <c r="E24" s="22">
        <v>3</v>
      </c>
      <c r="F24" s="22"/>
      <c r="G24" s="22"/>
      <c r="H24" s="49">
        <f t="shared" si="0"/>
        <v>3</v>
      </c>
      <c r="I24" s="22"/>
      <c r="J24" s="22">
        <v>1</v>
      </c>
      <c r="K24" s="22"/>
      <c r="L24" s="22"/>
      <c r="M24" s="49">
        <f t="shared" si="1"/>
        <v>1</v>
      </c>
      <c r="N24" s="22"/>
      <c r="O24" s="22"/>
      <c r="P24" s="22"/>
      <c r="Q24" s="22"/>
      <c r="R24" s="49">
        <f t="shared" si="2"/>
        <v>0</v>
      </c>
      <c r="S24" s="52">
        <f t="shared" si="3"/>
        <v>4</v>
      </c>
      <c r="T24">
        <v>17</v>
      </c>
    </row>
    <row r="25" spans="1:20" ht="23.25">
      <c r="A25" s="26">
        <v>26</v>
      </c>
      <c r="B25" s="22" t="s">
        <v>57</v>
      </c>
      <c r="C25" s="22" t="s">
        <v>9</v>
      </c>
      <c r="D25" s="22">
        <v>2</v>
      </c>
      <c r="E25" s="22"/>
      <c r="F25" s="22"/>
      <c r="G25" s="22"/>
      <c r="H25" s="49">
        <f t="shared" si="0"/>
        <v>2</v>
      </c>
      <c r="I25" s="22">
        <v>2</v>
      </c>
      <c r="J25" s="22"/>
      <c r="K25" s="22"/>
      <c r="L25" s="22"/>
      <c r="M25" s="49">
        <f t="shared" si="1"/>
        <v>2</v>
      </c>
      <c r="N25" s="22"/>
      <c r="O25" s="22"/>
      <c r="P25" s="22"/>
      <c r="Q25" s="22"/>
      <c r="R25" s="49">
        <f t="shared" si="2"/>
        <v>0</v>
      </c>
      <c r="S25" s="52">
        <f t="shared" si="3"/>
        <v>4</v>
      </c>
      <c r="T25">
        <v>18</v>
      </c>
    </row>
    <row r="26" spans="1:20" ht="23.25">
      <c r="A26" s="26">
        <v>31</v>
      </c>
      <c r="B26" s="22" t="s">
        <v>59</v>
      </c>
      <c r="C26" s="22" t="s">
        <v>9</v>
      </c>
      <c r="D26" s="22"/>
      <c r="E26" s="22"/>
      <c r="F26" s="22"/>
      <c r="G26" s="22"/>
      <c r="H26" s="49">
        <f t="shared" si="0"/>
        <v>0</v>
      </c>
      <c r="I26" s="22">
        <v>3</v>
      </c>
      <c r="J26" s="22"/>
      <c r="K26" s="22"/>
      <c r="L26" s="22"/>
      <c r="M26" s="49">
        <f t="shared" si="1"/>
        <v>3</v>
      </c>
      <c r="N26" s="22">
        <v>1</v>
      </c>
      <c r="O26" s="22"/>
      <c r="P26" s="22"/>
      <c r="Q26" s="22"/>
      <c r="R26" s="49">
        <f t="shared" si="2"/>
        <v>1</v>
      </c>
      <c r="S26" s="52">
        <f t="shared" si="3"/>
        <v>4</v>
      </c>
      <c r="T26">
        <v>19</v>
      </c>
    </row>
    <row r="27" spans="1:20" ht="23.25">
      <c r="A27" s="26">
        <v>32</v>
      </c>
      <c r="B27" s="22" t="s">
        <v>53</v>
      </c>
      <c r="C27" s="22" t="s">
        <v>9</v>
      </c>
      <c r="D27" s="22"/>
      <c r="E27" s="22">
        <v>1</v>
      </c>
      <c r="F27" s="22"/>
      <c r="G27" s="22"/>
      <c r="H27" s="49">
        <f t="shared" si="0"/>
        <v>1</v>
      </c>
      <c r="I27" s="22">
        <v>1</v>
      </c>
      <c r="J27" s="22">
        <v>1</v>
      </c>
      <c r="K27" s="22"/>
      <c r="L27" s="22"/>
      <c r="M27" s="49">
        <f t="shared" si="1"/>
        <v>2</v>
      </c>
      <c r="N27" s="22"/>
      <c r="O27" s="22">
        <v>1</v>
      </c>
      <c r="P27" s="22"/>
      <c r="Q27" s="22"/>
      <c r="R27" s="49">
        <f t="shared" si="2"/>
        <v>1</v>
      </c>
      <c r="S27" s="52">
        <f t="shared" si="3"/>
        <v>4</v>
      </c>
      <c r="T27">
        <v>20</v>
      </c>
    </row>
    <row r="28" spans="1:20" ht="23.25">
      <c r="A28" s="26">
        <v>33</v>
      </c>
      <c r="B28" s="22" t="s">
        <v>73</v>
      </c>
      <c r="C28" s="22" t="s">
        <v>9</v>
      </c>
      <c r="D28" s="22"/>
      <c r="E28" s="22"/>
      <c r="F28" s="22"/>
      <c r="G28" s="22"/>
      <c r="H28" s="49">
        <f t="shared" si="0"/>
        <v>0</v>
      </c>
      <c r="I28" s="22"/>
      <c r="J28" s="22">
        <v>2</v>
      </c>
      <c r="K28" s="22"/>
      <c r="L28" s="22"/>
      <c r="M28" s="49">
        <f t="shared" si="1"/>
        <v>2</v>
      </c>
      <c r="N28" s="22"/>
      <c r="O28" s="22">
        <v>2</v>
      </c>
      <c r="P28" s="22"/>
      <c r="Q28" s="22"/>
      <c r="R28" s="49">
        <f t="shared" si="2"/>
        <v>2</v>
      </c>
      <c r="S28" s="52">
        <f t="shared" si="3"/>
        <v>4</v>
      </c>
      <c r="T28">
        <v>21</v>
      </c>
    </row>
    <row r="29" spans="1:20" ht="23.25">
      <c r="A29" s="26">
        <v>38</v>
      </c>
      <c r="B29" s="22" t="s">
        <v>406</v>
      </c>
      <c r="C29" s="22" t="s">
        <v>9</v>
      </c>
      <c r="D29" s="22"/>
      <c r="E29" s="22"/>
      <c r="F29" s="22"/>
      <c r="G29" s="22"/>
      <c r="H29" s="49">
        <f t="shared" si="0"/>
        <v>0</v>
      </c>
      <c r="I29" s="22"/>
      <c r="J29" s="22"/>
      <c r="K29" s="22"/>
      <c r="L29" s="22"/>
      <c r="M29" s="49">
        <f t="shared" si="1"/>
        <v>0</v>
      </c>
      <c r="N29" s="22">
        <v>1</v>
      </c>
      <c r="O29" s="22">
        <v>3</v>
      </c>
      <c r="P29" s="22"/>
      <c r="Q29" s="22"/>
      <c r="R29" s="49">
        <f t="shared" si="2"/>
        <v>4</v>
      </c>
      <c r="S29" s="39">
        <f t="shared" si="3"/>
        <v>4</v>
      </c>
      <c r="T29">
        <v>22</v>
      </c>
    </row>
    <row r="30" spans="1:20" ht="23.25">
      <c r="A30" s="26">
        <v>49</v>
      </c>
      <c r="B30" s="22" t="s">
        <v>50</v>
      </c>
      <c r="C30" s="22" t="s">
        <v>9</v>
      </c>
      <c r="D30" s="22"/>
      <c r="E30" s="22">
        <v>1</v>
      </c>
      <c r="F30" s="22"/>
      <c r="G30" s="22"/>
      <c r="H30" s="49">
        <f t="shared" si="0"/>
        <v>1</v>
      </c>
      <c r="I30" s="22"/>
      <c r="J30" s="22">
        <v>2</v>
      </c>
      <c r="K30" s="22"/>
      <c r="L30" s="22">
        <v>1</v>
      </c>
      <c r="M30" s="49">
        <f t="shared" si="1"/>
        <v>3</v>
      </c>
      <c r="N30" s="22"/>
      <c r="O30" s="22"/>
      <c r="P30" s="22"/>
      <c r="Q30" s="22"/>
      <c r="R30" s="49">
        <f t="shared" si="2"/>
        <v>0</v>
      </c>
      <c r="S30" s="52">
        <f t="shared" si="3"/>
        <v>4</v>
      </c>
      <c r="T30">
        <v>23</v>
      </c>
    </row>
    <row r="31" spans="1:20" ht="23.25">
      <c r="A31" s="26">
        <v>50</v>
      </c>
      <c r="B31" s="22" t="s">
        <v>51</v>
      </c>
      <c r="C31" s="22" t="s">
        <v>9</v>
      </c>
      <c r="D31" s="22">
        <v>3</v>
      </c>
      <c r="E31" s="22"/>
      <c r="F31" s="22"/>
      <c r="G31" s="22"/>
      <c r="H31" s="49">
        <f t="shared" si="0"/>
        <v>3</v>
      </c>
      <c r="I31" s="22"/>
      <c r="J31" s="22">
        <v>1</v>
      </c>
      <c r="K31" s="22"/>
      <c r="L31" s="22"/>
      <c r="M31" s="49">
        <f t="shared" si="1"/>
        <v>1</v>
      </c>
      <c r="N31" s="22"/>
      <c r="O31" s="22"/>
      <c r="P31" s="22"/>
      <c r="Q31" s="22"/>
      <c r="R31" s="49">
        <f t="shared" si="2"/>
        <v>0</v>
      </c>
      <c r="S31" s="52">
        <f t="shared" si="3"/>
        <v>4</v>
      </c>
      <c r="T31">
        <v>24</v>
      </c>
    </row>
    <row r="32" spans="1:20" ht="23.25">
      <c r="A32" s="26">
        <v>52</v>
      </c>
      <c r="B32" s="22" t="s">
        <v>407</v>
      </c>
      <c r="C32" s="22" t="s">
        <v>9</v>
      </c>
      <c r="D32" s="22"/>
      <c r="E32" s="22"/>
      <c r="F32" s="22"/>
      <c r="G32" s="22"/>
      <c r="H32" s="49">
        <f t="shared" si="0"/>
        <v>0</v>
      </c>
      <c r="I32" s="22"/>
      <c r="J32" s="22"/>
      <c r="K32" s="22"/>
      <c r="L32" s="22"/>
      <c r="M32" s="49">
        <f t="shared" si="1"/>
        <v>0</v>
      </c>
      <c r="N32" s="22">
        <v>3</v>
      </c>
      <c r="O32" s="22">
        <v>1</v>
      </c>
      <c r="P32" s="22"/>
      <c r="Q32" s="22"/>
      <c r="R32" s="49">
        <f t="shared" si="2"/>
        <v>4</v>
      </c>
      <c r="S32" s="39">
        <f t="shared" si="3"/>
        <v>4</v>
      </c>
      <c r="T32">
        <v>25</v>
      </c>
    </row>
    <row r="33" spans="1:20" ht="23.25">
      <c r="A33" s="26">
        <v>53</v>
      </c>
      <c r="B33" s="22" t="s">
        <v>56</v>
      </c>
      <c r="C33" s="22" t="s">
        <v>9</v>
      </c>
      <c r="D33" s="22"/>
      <c r="E33" s="22">
        <v>3</v>
      </c>
      <c r="F33" s="22"/>
      <c r="G33" s="22"/>
      <c r="H33" s="49">
        <f t="shared" si="0"/>
        <v>3</v>
      </c>
      <c r="I33" s="22"/>
      <c r="J33" s="22">
        <v>1</v>
      </c>
      <c r="K33" s="22"/>
      <c r="L33" s="22"/>
      <c r="M33" s="49">
        <f t="shared" si="1"/>
        <v>1</v>
      </c>
      <c r="N33" s="22"/>
      <c r="O33" s="22"/>
      <c r="P33" s="22"/>
      <c r="Q33" s="22"/>
      <c r="R33" s="49">
        <f t="shared" si="2"/>
        <v>0</v>
      </c>
      <c r="S33" s="52">
        <f t="shared" si="3"/>
        <v>4</v>
      </c>
      <c r="T33">
        <v>26</v>
      </c>
    </row>
    <row r="34" spans="1:20" ht="23.25">
      <c r="A34" s="26">
        <v>54</v>
      </c>
      <c r="B34" s="22" t="s">
        <v>77</v>
      </c>
      <c r="C34" s="22" t="s">
        <v>9</v>
      </c>
      <c r="D34" s="22"/>
      <c r="E34" s="22">
        <v>2</v>
      </c>
      <c r="F34" s="22"/>
      <c r="G34" s="22"/>
      <c r="H34" s="49">
        <f t="shared" si="0"/>
        <v>2</v>
      </c>
      <c r="I34" s="22"/>
      <c r="J34" s="22">
        <v>1</v>
      </c>
      <c r="K34" s="22"/>
      <c r="L34" s="22"/>
      <c r="M34" s="49">
        <f t="shared" si="1"/>
        <v>1</v>
      </c>
      <c r="N34" s="22"/>
      <c r="O34" s="22">
        <v>1</v>
      </c>
      <c r="P34" s="22"/>
      <c r="Q34" s="22"/>
      <c r="R34" s="49">
        <f t="shared" si="2"/>
        <v>1</v>
      </c>
      <c r="S34" s="52">
        <f t="shared" si="3"/>
        <v>4</v>
      </c>
      <c r="T34">
        <v>27</v>
      </c>
    </row>
    <row r="35" spans="1:20" ht="23.25">
      <c r="A35" s="26">
        <v>68</v>
      </c>
      <c r="B35" s="22" t="s">
        <v>52</v>
      </c>
      <c r="C35" s="22" t="s">
        <v>9</v>
      </c>
      <c r="D35" s="22"/>
      <c r="E35" s="22">
        <v>1</v>
      </c>
      <c r="F35" s="22"/>
      <c r="G35" s="22"/>
      <c r="H35" s="49">
        <f t="shared" si="0"/>
        <v>1</v>
      </c>
      <c r="I35" s="22"/>
      <c r="J35" s="22">
        <v>2</v>
      </c>
      <c r="K35" s="22"/>
      <c r="L35" s="22"/>
      <c r="M35" s="49">
        <f t="shared" si="1"/>
        <v>2</v>
      </c>
      <c r="N35" s="22"/>
      <c r="O35" s="22">
        <v>1</v>
      </c>
      <c r="P35" s="22"/>
      <c r="Q35" s="22"/>
      <c r="R35" s="49">
        <f t="shared" si="2"/>
        <v>1</v>
      </c>
      <c r="S35" s="52">
        <f t="shared" si="3"/>
        <v>4</v>
      </c>
      <c r="T35">
        <v>28</v>
      </c>
    </row>
    <row r="36" spans="1:20" ht="23.25">
      <c r="A36" s="26">
        <v>69</v>
      </c>
      <c r="B36" s="22" t="s">
        <v>74</v>
      </c>
      <c r="C36" s="22" t="s">
        <v>9</v>
      </c>
      <c r="D36" s="22">
        <v>1</v>
      </c>
      <c r="E36" s="22"/>
      <c r="F36" s="22"/>
      <c r="G36" s="22"/>
      <c r="H36" s="49">
        <f t="shared" si="0"/>
        <v>1</v>
      </c>
      <c r="I36" s="22">
        <v>1</v>
      </c>
      <c r="J36" s="22"/>
      <c r="K36" s="22"/>
      <c r="L36" s="22"/>
      <c r="M36" s="49">
        <f t="shared" si="1"/>
        <v>1</v>
      </c>
      <c r="N36" s="22">
        <v>1</v>
      </c>
      <c r="O36" s="22">
        <v>1</v>
      </c>
      <c r="P36" s="22"/>
      <c r="Q36" s="22"/>
      <c r="R36" s="49">
        <f t="shared" si="2"/>
        <v>2</v>
      </c>
      <c r="S36" s="52">
        <f t="shared" si="3"/>
        <v>4</v>
      </c>
      <c r="T36">
        <v>29</v>
      </c>
    </row>
    <row r="37" spans="1:20" ht="23.25">
      <c r="A37" s="26">
        <v>70</v>
      </c>
      <c r="B37" s="22" t="s">
        <v>68</v>
      </c>
      <c r="C37" s="22" t="s">
        <v>9</v>
      </c>
      <c r="D37" s="22"/>
      <c r="E37" s="22">
        <v>2</v>
      </c>
      <c r="F37" s="22"/>
      <c r="G37" s="22"/>
      <c r="H37" s="49">
        <f t="shared" si="0"/>
        <v>2</v>
      </c>
      <c r="I37" s="22">
        <v>1</v>
      </c>
      <c r="J37" s="22">
        <v>1</v>
      </c>
      <c r="K37" s="22"/>
      <c r="L37" s="22"/>
      <c r="M37" s="49">
        <f t="shared" si="1"/>
        <v>2</v>
      </c>
      <c r="N37" s="22"/>
      <c r="O37" s="22"/>
      <c r="P37" s="22"/>
      <c r="Q37" s="22"/>
      <c r="R37" s="49">
        <f t="shared" si="2"/>
        <v>0</v>
      </c>
      <c r="S37" s="52">
        <f t="shared" si="3"/>
        <v>4</v>
      </c>
      <c r="T37">
        <v>30</v>
      </c>
    </row>
    <row r="38" spans="1:20" ht="23.25">
      <c r="A38" s="26">
        <v>73</v>
      </c>
      <c r="B38" s="22" t="s">
        <v>86</v>
      </c>
      <c r="C38" s="22" t="s">
        <v>9</v>
      </c>
      <c r="D38" s="22">
        <v>3</v>
      </c>
      <c r="E38" s="22"/>
      <c r="F38" s="22"/>
      <c r="G38" s="22"/>
      <c r="H38" s="49">
        <f t="shared" si="0"/>
        <v>3</v>
      </c>
      <c r="I38" s="22">
        <v>1</v>
      </c>
      <c r="J38" s="22"/>
      <c r="K38" s="22"/>
      <c r="L38" s="22"/>
      <c r="M38" s="49">
        <f t="shared" si="1"/>
        <v>1</v>
      </c>
      <c r="N38" s="22"/>
      <c r="O38" s="22"/>
      <c r="P38" s="22"/>
      <c r="Q38" s="22"/>
      <c r="R38" s="49">
        <f t="shared" si="2"/>
        <v>0</v>
      </c>
      <c r="S38" s="52">
        <f t="shared" si="3"/>
        <v>4</v>
      </c>
      <c r="T38">
        <v>31</v>
      </c>
    </row>
    <row r="39" spans="1:20" ht="23.25">
      <c r="A39" s="26">
        <v>74</v>
      </c>
      <c r="B39" s="22" t="s">
        <v>55</v>
      </c>
      <c r="C39" s="22" t="s">
        <v>9</v>
      </c>
      <c r="D39" s="22"/>
      <c r="E39" s="22"/>
      <c r="F39" s="22"/>
      <c r="G39" s="22"/>
      <c r="H39" s="49">
        <f t="shared" si="0"/>
        <v>0</v>
      </c>
      <c r="I39" s="22">
        <v>1</v>
      </c>
      <c r="J39" s="22"/>
      <c r="K39" s="22"/>
      <c r="L39" s="22"/>
      <c r="M39" s="49">
        <f t="shared" si="1"/>
        <v>1</v>
      </c>
      <c r="N39" s="22">
        <v>2</v>
      </c>
      <c r="O39" s="22">
        <v>1</v>
      </c>
      <c r="P39" s="22"/>
      <c r="Q39" s="22"/>
      <c r="R39" s="49">
        <f t="shared" si="2"/>
        <v>3</v>
      </c>
      <c r="S39" s="52">
        <f t="shared" si="3"/>
        <v>4</v>
      </c>
      <c r="T39">
        <v>32</v>
      </c>
    </row>
    <row r="40" spans="1:20" ht="23.25">
      <c r="A40" s="26">
        <v>19</v>
      </c>
      <c r="B40" s="22" t="s">
        <v>119</v>
      </c>
      <c r="C40" s="22"/>
      <c r="D40" s="22"/>
      <c r="E40" s="22"/>
      <c r="F40" s="22">
        <v>3</v>
      </c>
      <c r="G40" s="22"/>
      <c r="H40" s="49">
        <f t="shared" ref="H40:H71" si="4">SUM(D40:G40)</f>
        <v>3</v>
      </c>
      <c r="I40" s="22"/>
      <c r="J40" s="22"/>
      <c r="K40" s="22">
        <v>1</v>
      </c>
      <c r="L40" s="22">
        <v>3</v>
      </c>
      <c r="M40" s="49">
        <f t="shared" ref="M40:M71" si="5">SUM(I40:L40)</f>
        <v>4</v>
      </c>
      <c r="N40" s="22"/>
      <c r="O40" s="22"/>
      <c r="P40" s="22"/>
      <c r="Q40" s="22"/>
      <c r="R40" s="49">
        <f t="shared" ref="R40:R71" si="6">SUM(N40:Q40)</f>
        <v>0</v>
      </c>
      <c r="S40" s="39">
        <f t="shared" ref="S40:S71" si="7">SUM(R40,M40,H40)</f>
        <v>7</v>
      </c>
      <c r="T40">
        <v>33</v>
      </c>
    </row>
    <row r="41" spans="1:20" ht="23.25">
      <c r="A41" s="26">
        <v>11</v>
      </c>
      <c r="B41" s="22" t="s">
        <v>81</v>
      </c>
      <c r="C41" s="22"/>
      <c r="D41" s="22"/>
      <c r="E41" s="78">
        <v>2</v>
      </c>
      <c r="F41" s="22"/>
      <c r="G41" s="22">
        <v>1</v>
      </c>
      <c r="H41" s="49">
        <f t="shared" si="4"/>
        <v>3</v>
      </c>
      <c r="I41" s="22"/>
      <c r="J41" s="22"/>
      <c r="K41" s="22">
        <v>2</v>
      </c>
      <c r="L41" s="22"/>
      <c r="M41" s="49">
        <f t="shared" si="5"/>
        <v>2</v>
      </c>
      <c r="N41" s="22"/>
      <c r="O41" s="22"/>
      <c r="P41" s="22"/>
      <c r="Q41" s="22">
        <v>1</v>
      </c>
      <c r="R41" s="49">
        <f t="shared" si="6"/>
        <v>1</v>
      </c>
      <c r="S41" s="52">
        <f t="shared" si="7"/>
        <v>6</v>
      </c>
      <c r="T41">
        <v>34</v>
      </c>
    </row>
    <row r="42" spans="1:20" ht="23.25">
      <c r="A42" s="26">
        <v>4</v>
      </c>
      <c r="B42" s="22" t="s">
        <v>91</v>
      </c>
      <c r="C42" s="22"/>
      <c r="D42" s="22"/>
      <c r="E42" s="22"/>
      <c r="F42" s="22">
        <v>3</v>
      </c>
      <c r="G42" s="22"/>
      <c r="H42" s="49">
        <f t="shared" si="4"/>
        <v>3</v>
      </c>
      <c r="I42" s="22"/>
      <c r="J42" s="22"/>
      <c r="K42" s="22"/>
      <c r="L42" s="22"/>
      <c r="M42" s="49">
        <f t="shared" si="5"/>
        <v>0</v>
      </c>
      <c r="N42" s="22"/>
      <c r="O42" s="22"/>
      <c r="P42" s="22">
        <v>2</v>
      </c>
      <c r="Q42" s="22"/>
      <c r="R42" s="49">
        <f t="shared" si="6"/>
        <v>2</v>
      </c>
      <c r="S42" s="52">
        <f t="shared" si="7"/>
        <v>5</v>
      </c>
      <c r="T42">
        <v>35</v>
      </c>
    </row>
    <row r="43" spans="1:20" ht="23.25">
      <c r="A43" s="26">
        <v>36</v>
      </c>
      <c r="B43" s="22" t="s">
        <v>92</v>
      </c>
      <c r="C43" s="22"/>
      <c r="D43" s="22"/>
      <c r="E43" s="22"/>
      <c r="F43" s="22"/>
      <c r="G43" s="22">
        <v>3</v>
      </c>
      <c r="H43" s="49">
        <f t="shared" si="4"/>
        <v>3</v>
      </c>
      <c r="I43" s="22"/>
      <c r="J43" s="22"/>
      <c r="K43" s="22">
        <v>1</v>
      </c>
      <c r="L43" s="22"/>
      <c r="M43" s="49">
        <f t="shared" si="5"/>
        <v>1</v>
      </c>
      <c r="N43" s="22"/>
      <c r="O43" s="22"/>
      <c r="P43" s="22">
        <v>1</v>
      </c>
      <c r="Q43" s="22"/>
      <c r="R43" s="49">
        <f t="shared" si="6"/>
        <v>1</v>
      </c>
      <c r="S43" s="39">
        <f t="shared" si="7"/>
        <v>5</v>
      </c>
      <c r="T43">
        <v>36</v>
      </c>
    </row>
    <row r="44" spans="1:20" ht="23.25">
      <c r="A44" s="26">
        <v>41</v>
      </c>
      <c r="B44" s="22" t="s">
        <v>88</v>
      </c>
      <c r="C44" s="22"/>
      <c r="D44" s="22"/>
      <c r="E44" s="22"/>
      <c r="F44" s="22">
        <v>2</v>
      </c>
      <c r="G44" s="22"/>
      <c r="H44" s="49">
        <f t="shared" si="4"/>
        <v>2</v>
      </c>
      <c r="I44" s="22"/>
      <c r="J44" s="22"/>
      <c r="K44" s="22">
        <v>1</v>
      </c>
      <c r="L44" s="22">
        <v>1</v>
      </c>
      <c r="M44" s="49">
        <f t="shared" si="5"/>
        <v>2</v>
      </c>
      <c r="N44" s="22"/>
      <c r="O44" s="22"/>
      <c r="P44" s="22">
        <v>1</v>
      </c>
      <c r="Q44" s="22"/>
      <c r="R44" s="49">
        <f t="shared" si="6"/>
        <v>1</v>
      </c>
      <c r="S44" s="39">
        <f t="shared" si="7"/>
        <v>5</v>
      </c>
      <c r="T44">
        <v>37</v>
      </c>
    </row>
    <row r="45" spans="1:20" ht="23.25">
      <c r="A45" s="26">
        <v>43</v>
      </c>
      <c r="B45" s="22" t="s">
        <v>94</v>
      </c>
      <c r="C45" s="22"/>
      <c r="D45" s="22"/>
      <c r="E45" s="22"/>
      <c r="F45" s="22">
        <v>3</v>
      </c>
      <c r="G45" s="22"/>
      <c r="H45" s="49">
        <f t="shared" si="4"/>
        <v>3</v>
      </c>
      <c r="I45" s="22"/>
      <c r="J45" s="22"/>
      <c r="K45" s="22">
        <v>1</v>
      </c>
      <c r="L45" s="22"/>
      <c r="M45" s="49">
        <f t="shared" si="5"/>
        <v>1</v>
      </c>
      <c r="N45" s="22"/>
      <c r="O45" s="22"/>
      <c r="P45" s="22">
        <v>1</v>
      </c>
      <c r="Q45" s="22"/>
      <c r="R45" s="49">
        <f t="shared" si="6"/>
        <v>1</v>
      </c>
      <c r="S45" s="39">
        <f t="shared" si="7"/>
        <v>5</v>
      </c>
      <c r="T45">
        <v>38</v>
      </c>
    </row>
    <row r="46" spans="1:20" ht="23.25">
      <c r="A46" s="26">
        <v>44</v>
      </c>
      <c r="B46" s="22" t="s">
        <v>75</v>
      </c>
      <c r="C46" s="22"/>
      <c r="D46" s="22"/>
      <c r="E46" s="78">
        <v>1</v>
      </c>
      <c r="F46" s="22">
        <v>1</v>
      </c>
      <c r="G46" s="22"/>
      <c r="H46" s="49">
        <f t="shared" si="4"/>
        <v>2</v>
      </c>
      <c r="I46" s="22">
        <v>1</v>
      </c>
      <c r="J46" s="22">
        <v>1</v>
      </c>
      <c r="K46" s="22"/>
      <c r="L46" s="22"/>
      <c r="M46" s="49">
        <f t="shared" si="5"/>
        <v>2</v>
      </c>
      <c r="N46" s="22"/>
      <c r="O46" s="22">
        <v>1</v>
      </c>
      <c r="P46" s="22"/>
      <c r="Q46" s="22"/>
      <c r="R46" s="49">
        <f t="shared" si="6"/>
        <v>1</v>
      </c>
      <c r="S46" s="52">
        <f t="shared" si="7"/>
        <v>5</v>
      </c>
      <c r="T46">
        <v>39</v>
      </c>
    </row>
    <row r="47" spans="1:20" ht="23.25">
      <c r="A47" s="26">
        <v>58</v>
      </c>
      <c r="B47" s="22" t="s">
        <v>118</v>
      </c>
      <c r="C47" s="22"/>
      <c r="D47" s="22"/>
      <c r="E47" s="22">
        <v>3</v>
      </c>
      <c r="F47" s="22"/>
      <c r="G47" s="22">
        <v>1</v>
      </c>
      <c r="H47" s="49">
        <f t="shared" si="4"/>
        <v>4</v>
      </c>
      <c r="I47" s="22"/>
      <c r="J47" s="22"/>
      <c r="K47" s="22"/>
      <c r="L47" s="22"/>
      <c r="M47" s="49">
        <f t="shared" si="5"/>
        <v>0</v>
      </c>
      <c r="N47" s="22"/>
      <c r="O47" s="22"/>
      <c r="P47" s="22"/>
      <c r="Q47" s="22">
        <v>1</v>
      </c>
      <c r="R47" s="49">
        <f t="shared" si="6"/>
        <v>1</v>
      </c>
      <c r="S47" s="52">
        <f t="shared" si="7"/>
        <v>5</v>
      </c>
      <c r="T47">
        <v>40</v>
      </c>
    </row>
    <row r="48" spans="1:20" ht="23.25">
      <c r="A48" s="26">
        <v>7</v>
      </c>
      <c r="B48" s="22" t="s">
        <v>98</v>
      </c>
      <c r="C48" s="22"/>
      <c r="D48" s="22"/>
      <c r="E48" s="22"/>
      <c r="F48" s="22"/>
      <c r="G48" s="22"/>
      <c r="H48" s="49">
        <f t="shared" si="4"/>
        <v>0</v>
      </c>
      <c r="I48" s="22"/>
      <c r="J48" s="22"/>
      <c r="K48" s="22">
        <v>2</v>
      </c>
      <c r="L48" s="22">
        <v>1</v>
      </c>
      <c r="M48" s="49">
        <f t="shared" si="5"/>
        <v>3</v>
      </c>
      <c r="N48" s="22"/>
      <c r="O48" s="22"/>
      <c r="P48" s="22"/>
      <c r="Q48" s="22">
        <v>1</v>
      </c>
      <c r="R48" s="49">
        <f t="shared" si="6"/>
        <v>1</v>
      </c>
      <c r="S48" s="39">
        <f t="shared" si="7"/>
        <v>4</v>
      </c>
      <c r="T48">
        <v>41</v>
      </c>
    </row>
    <row r="49" spans="1:20" ht="23.25">
      <c r="A49" s="26">
        <v>25</v>
      </c>
      <c r="B49" s="22" t="s">
        <v>62</v>
      </c>
      <c r="C49" s="22"/>
      <c r="D49" s="22"/>
      <c r="E49" s="22"/>
      <c r="F49" s="22"/>
      <c r="G49" s="22"/>
      <c r="H49" s="49">
        <f t="shared" si="4"/>
        <v>0</v>
      </c>
      <c r="I49" s="22"/>
      <c r="J49" s="22"/>
      <c r="K49" s="22">
        <v>1</v>
      </c>
      <c r="L49" s="22">
        <v>1</v>
      </c>
      <c r="M49" s="49">
        <f t="shared" si="5"/>
        <v>2</v>
      </c>
      <c r="N49" s="22"/>
      <c r="O49" s="22"/>
      <c r="P49" s="22">
        <v>1</v>
      </c>
      <c r="Q49" s="22">
        <v>1</v>
      </c>
      <c r="R49" s="49">
        <f t="shared" si="6"/>
        <v>2</v>
      </c>
      <c r="S49" s="39">
        <f t="shared" si="7"/>
        <v>4</v>
      </c>
      <c r="T49">
        <v>42</v>
      </c>
    </row>
    <row r="50" spans="1:20" ht="23.25">
      <c r="A50" s="26">
        <v>34</v>
      </c>
      <c r="B50" s="22" t="s">
        <v>109</v>
      </c>
      <c r="C50" s="22"/>
      <c r="D50" s="22"/>
      <c r="E50" s="22"/>
      <c r="F50" s="22">
        <v>1</v>
      </c>
      <c r="G50" s="22">
        <v>2</v>
      </c>
      <c r="H50" s="49">
        <f t="shared" si="4"/>
        <v>3</v>
      </c>
      <c r="I50" s="22"/>
      <c r="J50" s="22"/>
      <c r="K50" s="22"/>
      <c r="L50" s="22"/>
      <c r="M50" s="49">
        <f t="shared" si="5"/>
        <v>0</v>
      </c>
      <c r="N50" s="22"/>
      <c r="O50" s="22"/>
      <c r="P50" s="22"/>
      <c r="Q50" s="22">
        <v>1</v>
      </c>
      <c r="R50" s="49">
        <f t="shared" si="6"/>
        <v>1</v>
      </c>
      <c r="S50" s="39">
        <f t="shared" si="7"/>
        <v>4</v>
      </c>
      <c r="T50">
        <v>43</v>
      </c>
    </row>
    <row r="51" spans="1:20" ht="23.25">
      <c r="A51" s="26">
        <v>45</v>
      </c>
      <c r="B51" s="22" t="s">
        <v>104</v>
      </c>
      <c r="C51" s="22"/>
      <c r="D51" s="22"/>
      <c r="E51" s="22"/>
      <c r="F51" s="22"/>
      <c r="G51" s="22">
        <v>2</v>
      </c>
      <c r="H51" s="49">
        <f t="shared" si="4"/>
        <v>2</v>
      </c>
      <c r="I51" s="22"/>
      <c r="J51" s="22"/>
      <c r="K51" s="22"/>
      <c r="L51" s="22">
        <v>1</v>
      </c>
      <c r="M51" s="49">
        <f t="shared" si="5"/>
        <v>1</v>
      </c>
      <c r="N51" s="22"/>
      <c r="O51" s="22"/>
      <c r="P51" s="22"/>
      <c r="Q51" s="22">
        <v>1</v>
      </c>
      <c r="R51" s="49">
        <f t="shared" si="6"/>
        <v>1</v>
      </c>
      <c r="S51" s="39">
        <f t="shared" si="7"/>
        <v>4</v>
      </c>
      <c r="T51">
        <v>44</v>
      </c>
    </row>
    <row r="52" spans="1:20" ht="23.25">
      <c r="A52" s="26">
        <v>64</v>
      </c>
      <c r="B52" s="22" t="s">
        <v>117</v>
      </c>
      <c r="C52" s="22"/>
      <c r="D52" s="22"/>
      <c r="E52" s="22"/>
      <c r="F52" s="22"/>
      <c r="G52" s="22"/>
      <c r="H52" s="49">
        <f t="shared" si="4"/>
        <v>0</v>
      </c>
      <c r="I52" s="22"/>
      <c r="J52" s="22"/>
      <c r="K52" s="22">
        <v>1</v>
      </c>
      <c r="L52" s="22">
        <v>1</v>
      </c>
      <c r="M52" s="49">
        <f t="shared" si="5"/>
        <v>2</v>
      </c>
      <c r="N52" s="22"/>
      <c r="O52" s="22"/>
      <c r="P52" s="22">
        <v>1</v>
      </c>
      <c r="Q52" s="22">
        <v>1</v>
      </c>
      <c r="R52" s="49">
        <f t="shared" si="6"/>
        <v>2</v>
      </c>
      <c r="S52" s="39">
        <f t="shared" si="7"/>
        <v>4</v>
      </c>
      <c r="T52">
        <v>45</v>
      </c>
    </row>
    <row r="53" spans="1:20" ht="23.25">
      <c r="A53" s="26">
        <v>67</v>
      </c>
      <c r="B53" s="22" t="s">
        <v>93</v>
      </c>
      <c r="C53" s="22"/>
      <c r="D53" s="22"/>
      <c r="E53" s="22"/>
      <c r="F53" s="22"/>
      <c r="G53" s="22"/>
      <c r="H53" s="49">
        <f t="shared" si="4"/>
        <v>0</v>
      </c>
      <c r="I53" s="22"/>
      <c r="J53" s="22"/>
      <c r="K53" s="22">
        <v>1</v>
      </c>
      <c r="L53" s="22"/>
      <c r="M53" s="49">
        <f t="shared" si="5"/>
        <v>1</v>
      </c>
      <c r="N53" s="22"/>
      <c r="O53" s="22"/>
      <c r="P53" s="22">
        <v>3</v>
      </c>
      <c r="Q53" s="22"/>
      <c r="R53" s="49">
        <f t="shared" si="6"/>
        <v>3</v>
      </c>
      <c r="S53" s="39">
        <f t="shared" si="7"/>
        <v>4</v>
      </c>
      <c r="T53">
        <v>46</v>
      </c>
    </row>
    <row r="54" spans="1:20" ht="23.25">
      <c r="A54" s="26">
        <v>75</v>
      </c>
      <c r="B54" s="22" t="s">
        <v>90</v>
      </c>
      <c r="C54" s="22"/>
      <c r="D54" s="22"/>
      <c r="E54" s="22"/>
      <c r="F54" s="22">
        <v>2</v>
      </c>
      <c r="G54" s="22"/>
      <c r="H54" s="49">
        <f t="shared" si="4"/>
        <v>2</v>
      </c>
      <c r="I54" s="22"/>
      <c r="J54" s="22"/>
      <c r="K54" s="22">
        <v>2</v>
      </c>
      <c r="L54" s="22"/>
      <c r="M54" s="49">
        <f t="shared" si="5"/>
        <v>2</v>
      </c>
      <c r="N54" s="22"/>
      <c r="O54" s="22"/>
      <c r="P54" s="22"/>
      <c r="Q54" s="22"/>
      <c r="R54" s="49">
        <f t="shared" si="6"/>
        <v>0</v>
      </c>
      <c r="S54" s="39">
        <f t="shared" si="7"/>
        <v>4</v>
      </c>
      <c r="T54">
        <v>47</v>
      </c>
    </row>
    <row r="55" spans="1:20" ht="23.25">
      <c r="A55" s="26">
        <v>56</v>
      </c>
      <c r="B55" s="22" t="s">
        <v>65</v>
      </c>
      <c r="C55" s="22"/>
      <c r="D55" s="22">
        <v>1</v>
      </c>
      <c r="E55" s="22"/>
      <c r="F55" s="22"/>
      <c r="G55" s="22"/>
      <c r="H55" s="49">
        <f t="shared" si="4"/>
        <v>1</v>
      </c>
      <c r="I55" s="22"/>
      <c r="J55" s="22"/>
      <c r="K55" s="22"/>
      <c r="L55" s="22">
        <v>1</v>
      </c>
      <c r="M55" s="49">
        <f t="shared" si="5"/>
        <v>1</v>
      </c>
      <c r="N55" s="78">
        <v>1</v>
      </c>
      <c r="O55" s="22"/>
      <c r="P55" s="22"/>
      <c r="Q55" s="22"/>
      <c r="R55" s="49">
        <f t="shared" si="6"/>
        <v>1</v>
      </c>
      <c r="S55" s="39">
        <f t="shared" si="7"/>
        <v>3</v>
      </c>
      <c r="T55">
        <v>48</v>
      </c>
    </row>
    <row r="56" spans="1:20" ht="23.25">
      <c r="A56" s="26">
        <v>57</v>
      </c>
      <c r="B56" s="22" t="s">
        <v>103</v>
      </c>
      <c r="C56" s="22"/>
      <c r="D56" s="22"/>
      <c r="E56" s="22"/>
      <c r="F56" s="22"/>
      <c r="G56" s="22"/>
      <c r="H56" s="49">
        <f t="shared" si="4"/>
        <v>0</v>
      </c>
      <c r="I56" s="22"/>
      <c r="J56" s="22"/>
      <c r="K56" s="22">
        <v>2</v>
      </c>
      <c r="L56" s="22"/>
      <c r="M56" s="49">
        <f t="shared" si="5"/>
        <v>2</v>
      </c>
      <c r="N56" s="22"/>
      <c r="O56" s="22"/>
      <c r="P56" s="22">
        <v>1</v>
      </c>
      <c r="Q56" s="22"/>
      <c r="R56" s="49">
        <f t="shared" si="6"/>
        <v>1</v>
      </c>
      <c r="S56" s="39">
        <f t="shared" si="7"/>
        <v>3</v>
      </c>
      <c r="T56">
        <v>49</v>
      </c>
    </row>
    <row r="57" spans="1:20" ht="23.25">
      <c r="A57" s="26">
        <v>60</v>
      </c>
      <c r="B57" s="22" t="s">
        <v>82</v>
      </c>
      <c r="C57" s="22"/>
      <c r="D57" s="22"/>
      <c r="E57" s="22"/>
      <c r="F57" s="22">
        <v>1</v>
      </c>
      <c r="G57" s="22"/>
      <c r="H57" s="49">
        <f t="shared" si="4"/>
        <v>1</v>
      </c>
      <c r="I57" s="22"/>
      <c r="J57" s="22"/>
      <c r="K57" s="22"/>
      <c r="L57" s="22"/>
      <c r="M57" s="49">
        <f t="shared" si="5"/>
        <v>0</v>
      </c>
      <c r="N57" s="22"/>
      <c r="O57" s="22"/>
      <c r="P57" s="22">
        <v>1</v>
      </c>
      <c r="Q57" s="22">
        <v>1</v>
      </c>
      <c r="R57" s="49">
        <f t="shared" si="6"/>
        <v>2</v>
      </c>
      <c r="S57" s="39">
        <f t="shared" si="7"/>
        <v>3</v>
      </c>
      <c r="T57">
        <v>50</v>
      </c>
    </row>
    <row r="58" spans="1:20" ht="23.25">
      <c r="A58" s="26">
        <v>62</v>
      </c>
      <c r="B58" s="22" t="s">
        <v>96</v>
      </c>
      <c r="C58" s="22"/>
      <c r="D58" s="22"/>
      <c r="E58" s="22"/>
      <c r="F58" s="22">
        <v>2</v>
      </c>
      <c r="G58" s="22"/>
      <c r="H58" s="49">
        <f t="shared" si="4"/>
        <v>2</v>
      </c>
      <c r="I58" s="22"/>
      <c r="J58" s="22"/>
      <c r="K58" s="22"/>
      <c r="L58" s="22">
        <v>1</v>
      </c>
      <c r="M58" s="49">
        <f t="shared" si="5"/>
        <v>1</v>
      </c>
      <c r="N58" s="22"/>
      <c r="O58" s="22"/>
      <c r="P58" s="22"/>
      <c r="Q58" s="22"/>
      <c r="R58" s="49">
        <f t="shared" si="6"/>
        <v>0</v>
      </c>
      <c r="S58" s="39">
        <f t="shared" si="7"/>
        <v>3</v>
      </c>
      <c r="T58">
        <v>51</v>
      </c>
    </row>
    <row r="59" spans="1:20" ht="23.25">
      <c r="A59" s="26">
        <v>66</v>
      </c>
      <c r="B59" s="22" t="s">
        <v>64</v>
      </c>
      <c r="C59" s="22"/>
      <c r="D59" s="22"/>
      <c r="E59" s="22"/>
      <c r="F59" s="22"/>
      <c r="G59" s="22">
        <v>3</v>
      </c>
      <c r="H59" s="49">
        <f t="shared" si="4"/>
        <v>3</v>
      </c>
      <c r="I59" s="22"/>
      <c r="J59" s="22"/>
      <c r="K59" s="22"/>
      <c r="L59" s="22"/>
      <c r="M59" s="49">
        <f t="shared" si="5"/>
        <v>0</v>
      </c>
      <c r="N59" s="22"/>
      <c r="O59" s="22"/>
      <c r="P59" s="22"/>
      <c r="Q59" s="22"/>
      <c r="R59" s="49">
        <f t="shared" si="6"/>
        <v>0</v>
      </c>
      <c r="S59" s="39">
        <f t="shared" si="7"/>
        <v>3</v>
      </c>
      <c r="T59">
        <v>52</v>
      </c>
    </row>
    <row r="60" spans="1:20" ht="23.25">
      <c r="A60" s="26">
        <v>6</v>
      </c>
      <c r="B60" s="22" t="s">
        <v>54</v>
      </c>
      <c r="C60" s="22"/>
      <c r="D60" s="22"/>
      <c r="E60" s="22"/>
      <c r="F60" s="22"/>
      <c r="G60" s="22"/>
      <c r="H60" s="49">
        <f t="shared" si="4"/>
        <v>0</v>
      </c>
      <c r="I60" s="22"/>
      <c r="J60" s="22"/>
      <c r="K60" s="22"/>
      <c r="L60" s="22"/>
      <c r="M60" s="49">
        <f t="shared" si="5"/>
        <v>0</v>
      </c>
      <c r="N60" s="22"/>
      <c r="O60" s="22"/>
      <c r="P60" s="22">
        <v>1</v>
      </c>
      <c r="Q60" s="22">
        <v>1</v>
      </c>
      <c r="R60" s="49">
        <f t="shared" si="6"/>
        <v>2</v>
      </c>
      <c r="S60" s="39">
        <f t="shared" si="7"/>
        <v>2</v>
      </c>
      <c r="T60">
        <v>53</v>
      </c>
    </row>
    <row r="61" spans="1:20" ht="23.25">
      <c r="A61" s="26">
        <v>20</v>
      </c>
      <c r="B61" s="22" t="s">
        <v>120</v>
      </c>
      <c r="C61" s="22"/>
      <c r="D61" s="22"/>
      <c r="E61" s="22"/>
      <c r="F61" s="22"/>
      <c r="G61" s="22">
        <v>1</v>
      </c>
      <c r="H61" s="49">
        <f t="shared" si="4"/>
        <v>1</v>
      </c>
      <c r="I61" s="22"/>
      <c r="J61" s="22"/>
      <c r="K61" s="22"/>
      <c r="L61" s="22"/>
      <c r="M61" s="49">
        <f t="shared" si="5"/>
        <v>0</v>
      </c>
      <c r="N61" s="22"/>
      <c r="O61" s="22"/>
      <c r="P61" s="22"/>
      <c r="Q61" s="22">
        <v>1</v>
      </c>
      <c r="R61" s="49">
        <f t="shared" si="6"/>
        <v>1</v>
      </c>
      <c r="S61" s="39">
        <f t="shared" si="7"/>
        <v>2</v>
      </c>
      <c r="T61">
        <v>54</v>
      </c>
    </row>
    <row r="62" spans="1:20" ht="23.25">
      <c r="A62" s="26">
        <v>27</v>
      </c>
      <c r="B62" s="22" t="s">
        <v>95</v>
      </c>
      <c r="C62" s="22"/>
      <c r="D62" s="22"/>
      <c r="E62" s="22"/>
      <c r="F62" s="22"/>
      <c r="G62" s="22"/>
      <c r="H62" s="49">
        <f t="shared" si="4"/>
        <v>0</v>
      </c>
      <c r="I62" s="22"/>
      <c r="J62" s="22"/>
      <c r="K62" s="22"/>
      <c r="L62" s="22">
        <v>1</v>
      </c>
      <c r="M62" s="49">
        <f t="shared" si="5"/>
        <v>1</v>
      </c>
      <c r="N62" s="22"/>
      <c r="O62" s="22"/>
      <c r="P62" s="22">
        <v>1</v>
      </c>
      <c r="Q62" s="22"/>
      <c r="R62" s="49">
        <f t="shared" si="6"/>
        <v>1</v>
      </c>
      <c r="S62" s="52">
        <f t="shared" si="7"/>
        <v>2</v>
      </c>
      <c r="T62">
        <v>55</v>
      </c>
    </row>
    <row r="63" spans="1:20" ht="23.25">
      <c r="A63" s="26">
        <v>29</v>
      </c>
      <c r="B63" s="22" t="s">
        <v>105</v>
      </c>
      <c r="C63" s="22"/>
      <c r="D63" s="22"/>
      <c r="E63" s="22"/>
      <c r="F63" s="22"/>
      <c r="G63" s="22"/>
      <c r="H63" s="49">
        <f t="shared" si="4"/>
        <v>0</v>
      </c>
      <c r="I63" s="22"/>
      <c r="J63" s="22"/>
      <c r="K63" s="22">
        <v>1</v>
      </c>
      <c r="L63" s="22"/>
      <c r="M63" s="49">
        <f t="shared" si="5"/>
        <v>1</v>
      </c>
      <c r="N63" s="22"/>
      <c r="O63" s="22"/>
      <c r="P63" s="22">
        <v>1</v>
      </c>
      <c r="Q63" s="22"/>
      <c r="R63" s="49">
        <f t="shared" si="6"/>
        <v>1</v>
      </c>
      <c r="S63" s="39">
        <f t="shared" si="7"/>
        <v>2</v>
      </c>
      <c r="T63">
        <v>56</v>
      </c>
    </row>
    <row r="64" spans="1:20" ht="23.25">
      <c r="A64" s="26">
        <v>40</v>
      </c>
      <c r="B64" s="22" t="s">
        <v>99</v>
      </c>
      <c r="C64" s="22"/>
      <c r="D64" s="22"/>
      <c r="E64" s="22"/>
      <c r="F64" s="22"/>
      <c r="G64" s="22">
        <v>1</v>
      </c>
      <c r="H64" s="49">
        <f t="shared" si="4"/>
        <v>1</v>
      </c>
      <c r="I64" s="22"/>
      <c r="J64" s="22"/>
      <c r="K64" s="22">
        <v>1</v>
      </c>
      <c r="L64" s="22"/>
      <c r="M64" s="49">
        <f t="shared" si="5"/>
        <v>1</v>
      </c>
      <c r="N64" s="22"/>
      <c r="O64" s="22"/>
      <c r="P64" s="22"/>
      <c r="Q64" s="22"/>
      <c r="R64" s="49">
        <f t="shared" si="6"/>
        <v>0</v>
      </c>
      <c r="S64" s="39">
        <f t="shared" si="7"/>
        <v>2</v>
      </c>
      <c r="T64">
        <v>57</v>
      </c>
    </row>
    <row r="65" spans="1:20" ht="23.25">
      <c r="A65" s="26">
        <v>47</v>
      </c>
      <c r="B65" s="22" t="s">
        <v>410</v>
      </c>
      <c r="C65" s="22"/>
      <c r="D65" s="22"/>
      <c r="E65" s="22"/>
      <c r="F65" s="22">
        <v>1</v>
      </c>
      <c r="G65" s="22"/>
      <c r="H65" s="49">
        <f t="shared" si="4"/>
        <v>1</v>
      </c>
      <c r="I65" s="22"/>
      <c r="J65" s="22"/>
      <c r="K65" s="22">
        <v>1</v>
      </c>
      <c r="L65" s="22"/>
      <c r="M65" s="49">
        <f t="shared" si="5"/>
        <v>1</v>
      </c>
      <c r="N65" s="22"/>
      <c r="O65" s="22"/>
      <c r="P65" s="22"/>
      <c r="Q65" s="22"/>
      <c r="R65" s="49">
        <f t="shared" si="6"/>
        <v>0</v>
      </c>
      <c r="S65" s="39">
        <f t="shared" si="7"/>
        <v>2</v>
      </c>
      <c r="T65">
        <v>58</v>
      </c>
    </row>
    <row r="66" spans="1:20" ht="23.25">
      <c r="A66" s="26">
        <v>51</v>
      </c>
      <c r="B66" s="22" t="s">
        <v>89</v>
      </c>
      <c r="C66" s="22"/>
      <c r="D66" s="22"/>
      <c r="E66" s="22"/>
      <c r="F66" s="22"/>
      <c r="G66" s="22"/>
      <c r="H66" s="49">
        <f t="shared" si="4"/>
        <v>0</v>
      </c>
      <c r="I66" s="22"/>
      <c r="J66" s="22"/>
      <c r="K66" s="22"/>
      <c r="L66" s="22"/>
      <c r="M66" s="49">
        <f t="shared" si="5"/>
        <v>0</v>
      </c>
      <c r="N66" s="22"/>
      <c r="O66" s="22"/>
      <c r="P66" s="22">
        <v>2</v>
      </c>
      <c r="Q66" s="22"/>
      <c r="R66" s="49">
        <f t="shared" si="6"/>
        <v>2</v>
      </c>
      <c r="S66" s="39">
        <f t="shared" si="7"/>
        <v>2</v>
      </c>
      <c r="T66">
        <v>59</v>
      </c>
    </row>
    <row r="67" spans="1:20" ht="23.25">
      <c r="A67" s="26">
        <v>63</v>
      </c>
      <c r="B67" s="22" t="s">
        <v>108</v>
      </c>
      <c r="C67" s="22"/>
      <c r="D67" s="22"/>
      <c r="E67" s="22"/>
      <c r="F67" s="22"/>
      <c r="G67" s="22"/>
      <c r="H67" s="49">
        <f t="shared" si="4"/>
        <v>0</v>
      </c>
      <c r="I67" s="22"/>
      <c r="J67" s="22"/>
      <c r="K67" s="22">
        <v>1</v>
      </c>
      <c r="L67" s="22"/>
      <c r="M67" s="49">
        <f t="shared" si="5"/>
        <v>1</v>
      </c>
      <c r="N67" s="22"/>
      <c r="O67" s="22"/>
      <c r="P67" s="22"/>
      <c r="Q67" s="22">
        <v>1</v>
      </c>
      <c r="R67" s="49">
        <f t="shared" si="6"/>
        <v>1</v>
      </c>
      <c r="S67" s="39">
        <f t="shared" si="7"/>
        <v>2</v>
      </c>
      <c r="T67">
        <v>60</v>
      </c>
    </row>
    <row r="68" spans="1:20" ht="23.25">
      <c r="A68" s="26">
        <v>3</v>
      </c>
      <c r="B68" s="22" t="s">
        <v>110</v>
      </c>
      <c r="C68" s="22"/>
      <c r="D68" s="22"/>
      <c r="E68" s="22"/>
      <c r="F68" s="22"/>
      <c r="G68" s="22"/>
      <c r="H68" s="49">
        <f t="shared" si="4"/>
        <v>0</v>
      </c>
      <c r="I68" s="22"/>
      <c r="J68" s="22"/>
      <c r="K68" s="22"/>
      <c r="L68" s="22"/>
      <c r="M68" s="49">
        <f t="shared" si="5"/>
        <v>0</v>
      </c>
      <c r="N68" s="22"/>
      <c r="O68" s="22"/>
      <c r="P68" s="22"/>
      <c r="Q68" s="22">
        <v>1</v>
      </c>
      <c r="R68" s="49">
        <f t="shared" si="6"/>
        <v>1</v>
      </c>
      <c r="S68" s="39">
        <f t="shared" si="7"/>
        <v>1</v>
      </c>
      <c r="T68">
        <v>61</v>
      </c>
    </row>
    <row r="69" spans="1:20" ht="23.25">
      <c r="A69" s="26">
        <v>76</v>
      </c>
      <c r="B69" s="22" t="s">
        <v>550</v>
      </c>
      <c r="C69" s="22"/>
      <c r="D69" s="22"/>
      <c r="E69" s="22"/>
      <c r="F69" s="22"/>
      <c r="G69" s="22"/>
      <c r="H69" s="49">
        <f t="shared" si="4"/>
        <v>0</v>
      </c>
      <c r="I69" s="22"/>
      <c r="J69" s="22"/>
      <c r="K69" s="22"/>
      <c r="L69" s="22"/>
      <c r="M69" s="49">
        <f t="shared" si="5"/>
        <v>0</v>
      </c>
      <c r="N69" s="22"/>
      <c r="O69" s="22"/>
      <c r="P69" s="22">
        <v>1</v>
      </c>
      <c r="Q69" s="22"/>
      <c r="R69" s="49">
        <f t="shared" si="6"/>
        <v>1</v>
      </c>
      <c r="S69" s="39">
        <f t="shared" si="7"/>
        <v>1</v>
      </c>
      <c r="T69">
        <v>62</v>
      </c>
    </row>
    <row r="70" spans="1:20" ht="23.25">
      <c r="A70" s="26">
        <v>13</v>
      </c>
      <c r="B70" s="22" t="s">
        <v>409</v>
      </c>
      <c r="C70" s="22"/>
      <c r="D70" s="22"/>
      <c r="E70" s="22"/>
      <c r="F70" s="22"/>
      <c r="G70" s="22"/>
      <c r="H70" s="49">
        <f t="shared" si="4"/>
        <v>0</v>
      </c>
      <c r="I70" s="22"/>
      <c r="J70" s="22"/>
      <c r="K70" s="22"/>
      <c r="L70" s="22"/>
      <c r="M70" s="49">
        <f t="shared" si="5"/>
        <v>0</v>
      </c>
      <c r="N70" s="22"/>
      <c r="O70" s="22"/>
      <c r="P70" s="22">
        <v>1</v>
      </c>
      <c r="Q70" s="22"/>
      <c r="R70" s="49">
        <f t="shared" si="6"/>
        <v>1</v>
      </c>
      <c r="S70" s="39">
        <f t="shared" si="7"/>
        <v>1</v>
      </c>
      <c r="T70">
        <v>63</v>
      </c>
    </row>
    <row r="71" spans="1:20" ht="23.25">
      <c r="A71" s="26">
        <v>16</v>
      </c>
      <c r="B71" s="22" t="s">
        <v>78</v>
      </c>
      <c r="C71" s="22"/>
      <c r="D71" s="22"/>
      <c r="E71" s="22"/>
      <c r="F71" s="22"/>
      <c r="G71" s="22"/>
      <c r="H71" s="49">
        <f t="shared" si="4"/>
        <v>0</v>
      </c>
      <c r="I71" s="22"/>
      <c r="J71" s="22"/>
      <c r="K71" s="22">
        <v>1</v>
      </c>
      <c r="L71" s="22"/>
      <c r="M71" s="49">
        <f t="shared" si="5"/>
        <v>1</v>
      </c>
      <c r="N71" s="22"/>
      <c r="O71" s="22"/>
      <c r="P71" s="22"/>
      <c r="Q71" s="22"/>
      <c r="R71" s="49">
        <f t="shared" si="6"/>
        <v>0</v>
      </c>
      <c r="S71" s="39">
        <f t="shared" si="7"/>
        <v>1</v>
      </c>
      <c r="T71">
        <v>64</v>
      </c>
    </row>
    <row r="72" spans="1:20" ht="23.25">
      <c r="A72" s="26">
        <v>18</v>
      </c>
      <c r="B72" s="22" t="s">
        <v>49</v>
      </c>
      <c r="C72" s="22"/>
      <c r="D72" s="22"/>
      <c r="E72" s="22"/>
      <c r="F72" s="22"/>
      <c r="G72" s="22">
        <v>1</v>
      </c>
      <c r="H72" s="49">
        <f t="shared" ref="H72:H103" si="8">SUM(D72:G72)</f>
        <v>1</v>
      </c>
      <c r="I72" s="22"/>
      <c r="J72" s="22"/>
      <c r="K72" s="22"/>
      <c r="L72" s="22"/>
      <c r="M72" s="49">
        <f t="shared" ref="M72:M103" si="9">SUM(I72:L72)</f>
        <v>0</v>
      </c>
      <c r="N72" s="22"/>
      <c r="O72" s="22"/>
      <c r="P72" s="22"/>
      <c r="Q72" s="22"/>
      <c r="R72" s="49">
        <f t="shared" ref="R72:R103" si="10">SUM(N72:Q72)</f>
        <v>0</v>
      </c>
      <c r="S72" s="39">
        <f t="shared" ref="S72:S103" si="11">SUM(R72,M72,H72)</f>
        <v>1</v>
      </c>
      <c r="T72">
        <v>65</v>
      </c>
    </row>
    <row r="73" spans="1:20" ht="23.25">
      <c r="A73" s="26">
        <v>21</v>
      </c>
      <c r="B73" s="22" t="s">
        <v>141</v>
      </c>
      <c r="C73" s="22"/>
      <c r="D73" s="22"/>
      <c r="E73" s="22"/>
      <c r="F73" s="22"/>
      <c r="G73" s="22"/>
      <c r="H73" s="49">
        <f t="shared" si="8"/>
        <v>0</v>
      </c>
      <c r="I73" s="22"/>
      <c r="J73" s="22"/>
      <c r="K73" s="22"/>
      <c r="L73" s="22">
        <v>1</v>
      </c>
      <c r="M73" s="49">
        <f t="shared" si="9"/>
        <v>1</v>
      </c>
      <c r="N73" s="22"/>
      <c r="O73" s="22"/>
      <c r="P73" s="22"/>
      <c r="Q73" s="22"/>
      <c r="R73" s="49">
        <f t="shared" si="10"/>
        <v>0</v>
      </c>
      <c r="S73" s="39">
        <f t="shared" si="11"/>
        <v>1</v>
      </c>
      <c r="T73">
        <v>66</v>
      </c>
    </row>
    <row r="74" spans="1:20" ht="23.25">
      <c r="A74" s="26">
        <v>35</v>
      </c>
      <c r="B74" s="22" t="s">
        <v>115</v>
      </c>
      <c r="C74" s="22"/>
      <c r="D74" s="22"/>
      <c r="E74" s="22"/>
      <c r="F74" s="22"/>
      <c r="G74" s="22">
        <v>1</v>
      </c>
      <c r="H74" s="49">
        <f t="shared" si="8"/>
        <v>1</v>
      </c>
      <c r="I74" s="22"/>
      <c r="J74" s="22"/>
      <c r="K74" s="22"/>
      <c r="L74" s="22"/>
      <c r="M74" s="49">
        <f t="shared" si="9"/>
        <v>0</v>
      </c>
      <c r="N74" s="22"/>
      <c r="O74" s="22"/>
      <c r="P74" s="22"/>
      <c r="Q74" s="22"/>
      <c r="R74" s="49">
        <f t="shared" si="10"/>
        <v>0</v>
      </c>
      <c r="S74" s="39">
        <f t="shared" si="11"/>
        <v>1</v>
      </c>
      <c r="T74">
        <v>67</v>
      </c>
    </row>
    <row r="75" spans="1:20" ht="23.25">
      <c r="A75" s="26">
        <v>37</v>
      </c>
      <c r="B75" s="22" t="s">
        <v>116</v>
      </c>
      <c r="C75" s="22"/>
      <c r="D75" s="22"/>
      <c r="E75" s="22"/>
      <c r="F75" s="22"/>
      <c r="G75" s="22"/>
      <c r="H75" s="49">
        <f t="shared" si="8"/>
        <v>0</v>
      </c>
      <c r="I75" s="22"/>
      <c r="J75" s="22"/>
      <c r="K75" s="22"/>
      <c r="L75" s="22">
        <v>1</v>
      </c>
      <c r="M75" s="49">
        <f t="shared" si="9"/>
        <v>1</v>
      </c>
      <c r="N75" s="22"/>
      <c r="O75" s="22"/>
      <c r="P75" s="22"/>
      <c r="Q75" s="22"/>
      <c r="R75" s="49">
        <f t="shared" si="10"/>
        <v>0</v>
      </c>
      <c r="S75" s="39">
        <f t="shared" si="11"/>
        <v>1</v>
      </c>
      <c r="T75">
        <v>68</v>
      </c>
    </row>
    <row r="76" spans="1:20" ht="23.25">
      <c r="A76" s="26">
        <v>48</v>
      </c>
      <c r="B76" s="22" t="s">
        <v>106</v>
      </c>
      <c r="C76" s="22"/>
      <c r="D76" s="22"/>
      <c r="E76" s="22"/>
      <c r="F76" s="22">
        <v>1</v>
      </c>
      <c r="G76" s="22"/>
      <c r="H76" s="49">
        <f t="shared" si="8"/>
        <v>1</v>
      </c>
      <c r="I76" s="22"/>
      <c r="J76" s="22"/>
      <c r="K76" s="22"/>
      <c r="L76" s="22"/>
      <c r="M76" s="49">
        <f t="shared" si="9"/>
        <v>0</v>
      </c>
      <c r="N76" s="22"/>
      <c r="O76" s="22"/>
      <c r="P76" s="22"/>
      <c r="Q76" s="22"/>
      <c r="R76" s="49">
        <f t="shared" si="10"/>
        <v>0</v>
      </c>
      <c r="S76" s="39">
        <f t="shared" si="11"/>
        <v>1</v>
      </c>
      <c r="T76">
        <v>69</v>
      </c>
    </row>
    <row r="77" spans="1:20" ht="23.25">
      <c r="A77" s="26">
        <v>55</v>
      </c>
      <c r="B77" s="22" t="s">
        <v>107</v>
      </c>
      <c r="C77" s="22"/>
      <c r="D77" s="22"/>
      <c r="E77" s="22"/>
      <c r="F77" s="22"/>
      <c r="G77" s="22"/>
      <c r="H77" s="49">
        <f t="shared" si="8"/>
        <v>0</v>
      </c>
      <c r="I77" s="22"/>
      <c r="J77" s="22"/>
      <c r="K77" s="22"/>
      <c r="L77" s="22"/>
      <c r="M77" s="49">
        <f t="shared" si="9"/>
        <v>0</v>
      </c>
      <c r="N77" s="22"/>
      <c r="O77" s="22"/>
      <c r="P77" s="22"/>
      <c r="Q77" s="22">
        <v>1</v>
      </c>
      <c r="R77" s="49">
        <f t="shared" si="10"/>
        <v>1</v>
      </c>
      <c r="S77" s="39">
        <f t="shared" si="11"/>
        <v>1</v>
      </c>
      <c r="T77">
        <v>70</v>
      </c>
    </row>
    <row r="78" spans="1:20" ht="23.25">
      <c r="A78" s="26">
        <v>71</v>
      </c>
      <c r="B78" s="22" t="s">
        <v>101</v>
      </c>
      <c r="C78" s="22"/>
      <c r="D78" s="22"/>
      <c r="E78" s="22"/>
      <c r="F78" s="22"/>
      <c r="G78" s="22"/>
      <c r="H78" s="49">
        <f t="shared" si="8"/>
        <v>0</v>
      </c>
      <c r="I78" s="22"/>
      <c r="J78" s="22"/>
      <c r="K78" s="22"/>
      <c r="L78" s="22"/>
      <c r="M78" s="49">
        <f t="shared" si="9"/>
        <v>0</v>
      </c>
      <c r="N78" s="22"/>
      <c r="O78" s="22"/>
      <c r="P78" s="22">
        <v>1</v>
      </c>
      <c r="Q78" s="22"/>
      <c r="R78" s="49">
        <f t="shared" si="10"/>
        <v>1</v>
      </c>
      <c r="S78" s="39">
        <f t="shared" si="11"/>
        <v>1</v>
      </c>
      <c r="T78">
        <v>71</v>
      </c>
    </row>
    <row r="79" spans="1:20" ht="23.25">
      <c r="A79" s="26">
        <v>10</v>
      </c>
      <c r="B79" s="22" t="s">
        <v>243</v>
      </c>
      <c r="C79" s="22"/>
      <c r="D79" s="22"/>
      <c r="E79" s="22"/>
      <c r="F79" s="22"/>
      <c r="G79" s="22"/>
      <c r="H79" s="49">
        <f t="shared" si="8"/>
        <v>0</v>
      </c>
      <c r="I79" s="22"/>
      <c r="J79" s="22"/>
      <c r="K79" s="22"/>
      <c r="L79" s="22"/>
      <c r="M79" s="49">
        <f t="shared" si="9"/>
        <v>0</v>
      </c>
      <c r="N79" s="22"/>
      <c r="O79" s="22"/>
      <c r="P79" s="22"/>
      <c r="Q79" s="22"/>
      <c r="R79" s="49">
        <f t="shared" si="10"/>
        <v>0</v>
      </c>
      <c r="S79" s="39">
        <f t="shared" si="11"/>
        <v>0</v>
      </c>
      <c r="T79">
        <v>72</v>
      </c>
    </row>
    <row r="80" spans="1:20" ht="23.25">
      <c r="A80" s="26">
        <v>22</v>
      </c>
      <c r="B80" s="22" t="s">
        <v>142</v>
      </c>
      <c r="C80" s="22"/>
      <c r="D80" s="22"/>
      <c r="E80" s="22"/>
      <c r="F80" s="22"/>
      <c r="G80" s="22"/>
      <c r="H80" s="49">
        <f t="shared" si="8"/>
        <v>0</v>
      </c>
      <c r="I80" s="22"/>
      <c r="J80" s="22"/>
      <c r="K80" s="22"/>
      <c r="L80" s="22"/>
      <c r="M80" s="49">
        <f t="shared" si="9"/>
        <v>0</v>
      </c>
      <c r="N80" s="22"/>
      <c r="O80" s="22"/>
      <c r="P80" s="22"/>
      <c r="Q80" s="22"/>
      <c r="R80" s="49">
        <f t="shared" si="10"/>
        <v>0</v>
      </c>
      <c r="S80" s="39">
        <f t="shared" si="11"/>
        <v>0</v>
      </c>
      <c r="T80">
        <v>73</v>
      </c>
    </row>
    <row r="81" spans="1:20" ht="23.25">
      <c r="A81" s="26">
        <v>23</v>
      </c>
      <c r="B81" s="22" t="s">
        <v>102</v>
      </c>
      <c r="C81" s="22"/>
      <c r="D81" s="22"/>
      <c r="E81" s="22"/>
      <c r="F81" s="22"/>
      <c r="G81" s="22"/>
      <c r="H81" s="49">
        <f t="shared" si="8"/>
        <v>0</v>
      </c>
      <c r="I81" s="22"/>
      <c r="J81" s="22"/>
      <c r="K81" s="22"/>
      <c r="L81" s="22"/>
      <c r="M81" s="49">
        <f t="shared" si="9"/>
        <v>0</v>
      </c>
      <c r="N81" s="22"/>
      <c r="O81" s="22"/>
      <c r="P81" s="22"/>
      <c r="Q81" s="22"/>
      <c r="R81" s="49">
        <f t="shared" si="10"/>
        <v>0</v>
      </c>
      <c r="S81" s="39">
        <f t="shared" si="11"/>
        <v>0</v>
      </c>
      <c r="T81">
        <v>74</v>
      </c>
    </row>
    <row r="82" spans="1:20" ht="23.25">
      <c r="A82" s="26">
        <v>42</v>
      </c>
      <c r="B82" s="22" t="s">
        <v>97</v>
      </c>
      <c r="C82" s="22"/>
      <c r="D82" s="22"/>
      <c r="E82" s="22"/>
      <c r="F82" s="22"/>
      <c r="G82" s="22"/>
      <c r="H82" s="49">
        <f t="shared" si="8"/>
        <v>0</v>
      </c>
      <c r="I82" s="22"/>
      <c r="J82" s="22"/>
      <c r="K82" s="22"/>
      <c r="L82" s="22"/>
      <c r="M82" s="49">
        <f t="shared" si="9"/>
        <v>0</v>
      </c>
      <c r="N82" s="22"/>
      <c r="O82" s="22"/>
      <c r="P82" s="22"/>
      <c r="Q82" s="22"/>
      <c r="R82" s="49">
        <f t="shared" si="10"/>
        <v>0</v>
      </c>
      <c r="S82" s="39">
        <f t="shared" si="11"/>
        <v>0</v>
      </c>
      <c r="T82">
        <v>75</v>
      </c>
    </row>
    <row r="83" spans="1:20" ht="23.25">
      <c r="A83" s="26">
        <v>59</v>
      </c>
      <c r="B83" s="22" t="s">
        <v>100</v>
      </c>
      <c r="C83" s="22"/>
      <c r="D83" s="22"/>
      <c r="E83" s="22"/>
      <c r="F83" s="22"/>
      <c r="G83" s="22"/>
      <c r="H83" s="49">
        <f t="shared" si="8"/>
        <v>0</v>
      </c>
      <c r="I83" s="22"/>
      <c r="J83" s="22"/>
      <c r="K83" s="22"/>
      <c r="L83" s="22"/>
      <c r="M83" s="49">
        <f t="shared" si="9"/>
        <v>0</v>
      </c>
      <c r="N83" s="22"/>
      <c r="O83" s="22"/>
      <c r="P83" s="22"/>
      <c r="Q83" s="22"/>
      <c r="R83" s="49">
        <f t="shared" si="10"/>
        <v>0</v>
      </c>
      <c r="S83" s="52">
        <f t="shared" si="11"/>
        <v>0</v>
      </c>
      <c r="T83">
        <v>76</v>
      </c>
    </row>
    <row r="84" spans="1:20" ht="23.25">
      <c r="A84" s="26">
        <v>72</v>
      </c>
      <c r="B84" s="22" t="s">
        <v>83</v>
      </c>
      <c r="C84" s="22"/>
      <c r="D84" s="22"/>
      <c r="E84" s="22"/>
      <c r="F84" s="22"/>
      <c r="G84" s="22"/>
      <c r="H84" s="49">
        <f t="shared" si="8"/>
        <v>0</v>
      </c>
      <c r="I84" s="22"/>
      <c r="J84" s="22"/>
      <c r="K84" s="22"/>
      <c r="L84" s="22"/>
      <c r="M84" s="49">
        <f t="shared" si="9"/>
        <v>0</v>
      </c>
      <c r="N84" s="22"/>
      <c r="O84" s="22"/>
      <c r="P84" s="22"/>
      <c r="Q84" s="22"/>
      <c r="R84" s="49">
        <f t="shared" si="10"/>
        <v>0</v>
      </c>
      <c r="S84" s="39">
        <f t="shared" si="11"/>
        <v>0</v>
      </c>
      <c r="T84">
        <v>77</v>
      </c>
    </row>
    <row r="85" spans="1:20" ht="23.25">
      <c r="A85" s="55"/>
      <c r="B85" s="40"/>
      <c r="C85" s="40"/>
      <c r="D85" s="40"/>
      <c r="E85" s="40"/>
      <c r="F85" s="40"/>
      <c r="G85" s="40"/>
      <c r="H85" s="56"/>
      <c r="I85" s="40"/>
      <c r="J85" s="40"/>
      <c r="K85" s="40"/>
      <c r="L85" s="40"/>
      <c r="M85" s="56"/>
      <c r="N85" s="40"/>
      <c r="O85" s="40"/>
      <c r="P85" s="40"/>
      <c r="Q85" s="40"/>
      <c r="R85" s="56"/>
      <c r="S85" s="57"/>
    </row>
    <row r="86" spans="1:20" ht="29.25">
      <c r="A86" s="26"/>
      <c r="B86" s="22" t="s">
        <v>131</v>
      </c>
      <c r="C86" s="22"/>
      <c r="D86" s="41">
        <f>SUM(D8:D82)</f>
        <v>22</v>
      </c>
      <c r="E86" s="41">
        <f t="shared" ref="E86:R86" si="12">SUM(E8:E82)</f>
        <v>27</v>
      </c>
      <c r="F86" s="41">
        <f t="shared" si="12"/>
        <v>20</v>
      </c>
      <c r="G86" s="41">
        <f t="shared" si="12"/>
        <v>16</v>
      </c>
      <c r="H86" s="41">
        <f t="shared" si="12"/>
        <v>85</v>
      </c>
      <c r="I86" s="41">
        <f t="shared" si="12"/>
        <v>22</v>
      </c>
      <c r="J86" s="41">
        <f t="shared" si="12"/>
        <v>27</v>
      </c>
      <c r="K86" s="41">
        <f t="shared" si="12"/>
        <v>20</v>
      </c>
      <c r="L86" s="41">
        <f t="shared" si="12"/>
        <v>15</v>
      </c>
      <c r="M86" s="41">
        <f t="shared" si="12"/>
        <v>84</v>
      </c>
      <c r="N86" s="41">
        <f t="shared" si="12"/>
        <v>22</v>
      </c>
      <c r="O86" s="41">
        <f t="shared" si="12"/>
        <v>27</v>
      </c>
      <c r="P86" s="41">
        <f t="shared" si="12"/>
        <v>20</v>
      </c>
      <c r="Q86" s="41">
        <f t="shared" si="12"/>
        <v>15</v>
      </c>
      <c r="R86" s="41">
        <f t="shared" si="12"/>
        <v>84</v>
      </c>
      <c r="S86" s="42">
        <f>SUM(S71:S76)</f>
        <v>6</v>
      </c>
    </row>
    <row r="87" spans="1:20">
      <c r="D87">
        <f t="shared" ref="D87:M87" si="13">D86-I86</f>
        <v>0</v>
      </c>
      <c r="E87">
        <f t="shared" si="13"/>
        <v>0</v>
      </c>
      <c r="F87">
        <f t="shared" si="13"/>
        <v>0</v>
      </c>
      <c r="G87">
        <f t="shared" si="13"/>
        <v>1</v>
      </c>
      <c r="H87" s="50">
        <f t="shared" si="13"/>
        <v>1</v>
      </c>
      <c r="I87">
        <f t="shared" si="13"/>
        <v>0</v>
      </c>
      <c r="J87">
        <f t="shared" si="13"/>
        <v>0</v>
      </c>
      <c r="K87">
        <f t="shared" si="13"/>
        <v>0</v>
      </c>
      <c r="L87">
        <f t="shared" si="13"/>
        <v>0</v>
      </c>
      <c r="M87" s="50">
        <f t="shared" si="13"/>
        <v>0</v>
      </c>
      <c r="N87">
        <f>N86-D86</f>
        <v>0</v>
      </c>
      <c r="O87">
        <f>O86-E86</f>
        <v>0</v>
      </c>
      <c r="P87">
        <f>P86-F86</f>
        <v>0</v>
      </c>
      <c r="Q87">
        <f>Q86-G86</f>
        <v>-1</v>
      </c>
      <c r="R87" s="50">
        <f>R86-H86</f>
        <v>-1</v>
      </c>
    </row>
  </sheetData>
  <autoFilter ref="A5:S6" xr:uid="{00000000-0009-0000-0000-000001000000}">
    <filterColumn colId="3" showButton="0"/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</autoFilter>
  <sortState xmlns:xlrd2="http://schemas.microsoft.com/office/spreadsheetml/2017/richdata2" ref="A8:S84">
    <sortCondition descending="1" ref="C8:C84"/>
    <sortCondition descending="1" ref="S8:S84"/>
    <sortCondition ref="B8:B84"/>
  </sortState>
  <mergeCells count="7">
    <mergeCell ref="A5:A6"/>
    <mergeCell ref="B5:B6"/>
    <mergeCell ref="D5:H5"/>
    <mergeCell ref="N5:R5"/>
    <mergeCell ref="S5:S6"/>
    <mergeCell ref="I5:M5"/>
    <mergeCell ref="C5:C6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I29"/>
  <sheetViews>
    <sheetView rightToLeft="1" topLeftCell="A6" workbookViewId="0">
      <selection activeCell="G11" sqref="G11"/>
    </sheetView>
  </sheetViews>
  <sheetFormatPr baseColWidth="10" defaultColWidth="11" defaultRowHeight="21"/>
  <cols>
    <col min="1" max="1" width="12.140625" style="2" customWidth="1"/>
    <col min="2" max="2" width="11" style="2"/>
    <col min="3" max="3" width="11.5703125" style="2" customWidth="1"/>
    <col min="4" max="4" width="17.5703125" style="2" customWidth="1"/>
    <col min="5" max="5" width="11" style="2"/>
    <col min="6" max="6" width="14.28515625" style="2" customWidth="1"/>
    <col min="7" max="7" width="18.5703125" style="2" customWidth="1"/>
    <col min="8" max="8" width="4.85546875" style="2" customWidth="1"/>
    <col min="9" max="258" width="11" style="2"/>
    <col min="259" max="259" width="7.42578125" style="2" customWidth="1"/>
    <col min="260" max="260" width="14.42578125" style="2" customWidth="1"/>
    <col min="261" max="262" width="11" style="2"/>
    <col min="263" max="263" width="11.85546875" style="2" customWidth="1"/>
    <col min="264" max="264" width="9.7109375" style="2" customWidth="1"/>
    <col min="265" max="514" width="11" style="2"/>
    <col min="515" max="515" width="7.42578125" style="2" customWidth="1"/>
    <col min="516" max="516" width="14.42578125" style="2" customWidth="1"/>
    <col min="517" max="518" width="11" style="2"/>
    <col min="519" max="519" width="11.85546875" style="2" customWidth="1"/>
    <col min="520" max="520" width="9.7109375" style="2" customWidth="1"/>
    <col min="521" max="770" width="11" style="2"/>
    <col min="771" max="771" width="7.42578125" style="2" customWidth="1"/>
    <col min="772" max="772" width="14.42578125" style="2" customWidth="1"/>
    <col min="773" max="774" width="11" style="2"/>
    <col min="775" max="775" width="11.85546875" style="2" customWidth="1"/>
    <col min="776" max="776" width="9.7109375" style="2" customWidth="1"/>
    <col min="777" max="1026" width="11" style="2"/>
    <col min="1027" max="1027" width="7.42578125" style="2" customWidth="1"/>
    <col min="1028" max="1028" width="14.42578125" style="2" customWidth="1"/>
    <col min="1029" max="1030" width="11" style="2"/>
    <col min="1031" max="1031" width="11.85546875" style="2" customWidth="1"/>
    <col min="1032" max="1032" width="9.7109375" style="2" customWidth="1"/>
    <col min="1033" max="1282" width="11" style="2"/>
    <col min="1283" max="1283" width="7.42578125" style="2" customWidth="1"/>
    <col min="1284" max="1284" width="14.42578125" style="2" customWidth="1"/>
    <col min="1285" max="1286" width="11" style="2"/>
    <col min="1287" max="1287" width="11.85546875" style="2" customWidth="1"/>
    <col min="1288" max="1288" width="9.7109375" style="2" customWidth="1"/>
    <col min="1289" max="1538" width="11" style="2"/>
    <col min="1539" max="1539" width="7.42578125" style="2" customWidth="1"/>
    <col min="1540" max="1540" width="14.42578125" style="2" customWidth="1"/>
    <col min="1541" max="1542" width="11" style="2"/>
    <col min="1543" max="1543" width="11.85546875" style="2" customWidth="1"/>
    <col min="1544" max="1544" width="9.7109375" style="2" customWidth="1"/>
    <col min="1545" max="1794" width="11" style="2"/>
    <col min="1795" max="1795" width="7.42578125" style="2" customWidth="1"/>
    <col min="1796" max="1796" width="14.42578125" style="2" customWidth="1"/>
    <col min="1797" max="1798" width="11" style="2"/>
    <col min="1799" max="1799" width="11.85546875" style="2" customWidth="1"/>
    <col min="1800" max="1800" width="9.7109375" style="2" customWidth="1"/>
    <col min="1801" max="2050" width="11" style="2"/>
    <col min="2051" max="2051" width="7.42578125" style="2" customWidth="1"/>
    <col min="2052" max="2052" width="14.42578125" style="2" customWidth="1"/>
    <col min="2053" max="2054" width="11" style="2"/>
    <col min="2055" max="2055" width="11.85546875" style="2" customWidth="1"/>
    <col min="2056" max="2056" width="9.7109375" style="2" customWidth="1"/>
    <col min="2057" max="2306" width="11" style="2"/>
    <col min="2307" max="2307" width="7.42578125" style="2" customWidth="1"/>
    <col min="2308" max="2308" width="14.42578125" style="2" customWidth="1"/>
    <col min="2309" max="2310" width="11" style="2"/>
    <col min="2311" max="2311" width="11.85546875" style="2" customWidth="1"/>
    <col min="2312" max="2312" width="9.7109375" style="2" customWidth="1"/>
    <col min="2313" max="2562" width="11" style="2"/>
    <col min="2563" max="2563" width="7.42578125" style="2" customWidth="1"/>
    <col min="2564" max="2564" width="14.42578125" style="2" customWidth="1"/>
    <col min="2565" max="2566" width="11" style="2"/>
    <col min="2567" max="2567" width="11.85546875" style="2" customWidth="1"/>
    <col min="2568" max="2568" width="9.7109375" style="2" customWidth="1"/>
    <col min="2569" max="2818" width="11" style="2"/>
    <col min="2819" max="2819" width="7.42578125" style="2" customWidth="1"/>
    <col min="2820" max="2820" width="14.42578125" style="2" customWidth="1"/>
    <col min="2821" max="2822" width="11" style="2"/>
    <col min="2823" max="2823" width="11.85546875" style="2" customWidth="1"/>
    <col min="2824" max="2824" width="9.7109375" style="2" customWidth="1"/>
    <col min="2825" max="3074" width="11" style="2"/>
    <col min="3075" max="3075" width="7.42578125" style="2" customWidth="1"/>
    <col min="3076" max="3076" width="14.42578125" style="2" customWidth="1"/>
    <col min="3077" max="3078" width="11" style="2"/>
    <col min="3079" max="3079" width="11.85546875" style="2" customWidth="1"/>
    <col min="3080" max="3080" width="9.7109375" style="2" customWidth="1"/>
    <col min="3081" max="3330" width="11" style="2"/>
    <col min="3331" max="3331" width="7.42578125" style="2" customWidth="1"/>
    <col min="3332" max="3332" width="14.42578125" style="2" customWidth="1"/>
    <col min="3333" max="3334" width="11" style="2"/>
    <col min="3335" max="3335" width="11.85546875" style="2" customWidth="1"/>
    <col min="3336" max="3336" width="9.7109375" style="2" customWidth="1"/>
    <col min="3337" max="3586" width="11" style="2"/>
    <col min="3587" max="3587" width="7.42578125" style="2" customWidth="1"/>
    <col min="3588" max="3588" width="14.42578125" style="2" customWidth="1"/>
    <col min="3589" max="3590" width="11" style="2"/>
    <col min="3591" max="3591" width="11.85546875" style="2" customWidth="1"/>
    <col min="3592" max="3592" width="9.7109375" style="2" customWidth="1"/>
    <col min="3593" max="3842" width="11" style="2"/>
    <col min="3843" max="3843" width="7.42578125" style="2" customWidth="1"/>
    <col min="3844" max="3844" width="14.42578125" style="2" customWidth="1"/>
    <col min="3845" max="3846" width="11" style="2"/>
    <col min="3847" max="3847" width="11.85546875" style="2" customWidth="1"/>
    <col min="3848" max="3848" width="9.7109375" style="2" customWidth="1"/>
    <col min="3849" max="4098" width="11" style="2"/>
    <col min="4099" max="4099" width="7.42578125" style="2" customWidth="1"/>
    <col min="4100" max="4100" width="14.42578125" style="2" customWidth="1"/>
    <col min="4101" max="4102" width="11" style="2"/>
    <col min="4103" max="4103" width="11.85546875" style="2" customWidth="1"/>
    <col min="4104" max="4104" width="9.7109375" style="2" customWidth="1"/>
    <col min="4105" max="4354" width="11" style="2"/>
    <col min="4355" max="4355" width="7.42578125" style="2" customWidth="1"/>
    <col min="4356" max="4356" width="14.42578125" style="2" customWidth="1"/>
    <col min="4357" max="4358" width="11" style="2"/>
    <col min="4359" max="4359" width="11.85546875" style="2" customWidth="1"/>
    <col min="4360" max="4360" width="9.7109375" style="2" customWidth="1"/>
    <col min="4361" max="4610" width="11" style="2"/>
    <col min="4611" max="4611" width="7.42578125" style="2" customWidth="1"/>
    <col min="4612" max="4612" width="14.42578125" style="2" customWidth="1"/>
    <col min="4613" max="4614" width="11" style="2"/>
    <col min="4615" max="4615" width="11.85546875" style="2" customWidth="1"/>
    <col min="4616" max="4616" width="9.7109375" style="2" customWidth="1"/>
    <col min="4617" max="4866" width="11" style="2"/>
    <col min="4867" max="4867" width="7.42578125" style="2" customWidth="1"/>
    <col min="4868" max="4868" width="14.42578125" style="2" customWidth="1"/>
    <col min="4869" max="4870" width="11" style="2"/>
    <col min="4871" max="4871" width="11.85546875" style="2" customWidth="1"/>
    <col min="4872" max="4872" width="9.7109375" style="2" customWidth="1"/>
    <col min="4873" max="5122" width="11" style="2"/>
    <col min="5123" max="5123" width="7.42578125" style="2" customWidth="1"/>
    <col min="5124" max="5124" width="14.42578125" style="2" customWidth="1"/>
    <col min="5125" max="5126" width="11" style="2"/>
    <col min="5127" max="5127" width="11.85546875" style="2" customWidth="1"/>
    <col min="5128" max="5128" width="9.7109375" style="2" customWidth="1"/>
    <col min="5129" max="5378" width="11" style="2"/>
    <col min="5379" max="5379" width="7.42578125" style="2" customWidth="1"/>
    <col min="5380" max="5380" width="14.42578125" style="2" customWidth="1"/>
    <col min="5381" max="5382" width="11" style="2"/>
    <col min="5383" max="5383" width="11.85546875" style="2" customWidth="1"/>
    <col min="5384" max="5384" width="9.7109375" style="2" customWidth="1"/>
    <col min="5385" max="5634" width="11" style="2"/>
    <col min="5635" max="5635" width="7.42578125" style="2" customWidth="1"/>
    <col min="5636" max="5636" width="14.42578125" style="2" customWidth="1"/>
    <col min="5637" max="5638" width="11" style="2"/>
    <col min="5639" max="5639" width="11.85546875" style="2" customWidth="1"/>
    <col min="5640" max="5640" width="9.7109375" style="2" customWidth="1"/>
    <col min="5641" max="5890" width="11" style="2"/>
    <col min="5891" max="5891" width="7.42578125" style="2" customWidth="1"/>
    <col min="5892" max="5892" width="14.42578125" style="2" customWidth="1"/>
    <col min="5893" max="5894" width="11" style="2"/>
    <col min="5895" max="5895" width="11.85546875" style="2" customWidth="1"/>
    <col min="5896" max="5896" width="9.7109375" style="2" customWidth="1"/>
    <col min="5897" max="6146" width="11" style="2"/>
    <col min="6147" max="6147" width="7.42578125" style="2" customWidth="1"/>
    <col min="6148" max="6148" width="14.42578125" style="2" customWidth="1"/>
    <col min="6149" max="6150" width="11" style="2"/>
    <col min="6151" max="6151" width="11.85546875" style="2" customWidth="1"/>
    <col min="6152" max="6152" width="9.7109375" style="2" customWidth="1"/>
    <col min="6153" max="6402" width="11" style="2"/>
    <col min="6403" max="6403" width="7.42578125" style="2" customWidth="1"/>
    <col min="6404" max="6404" width="14.42578125" style="2" customWidth="1"/>
    <col min="6405" max="6406" width="11" style="2"/>
    <col min="6407" max="6407" width="11.85546875" style="2" customWidth="1"/>
    <col min="6408" max="6408" width="9.7109375" style="2" customWidth="1"/>
    <col min="6409" max="6658" width="11" style="2"/>
    <col min="6659" max="6659" width="7.42578125" style="2" customWidth="1"/>
    <col min="6660" max="6660" width="14.42578125" style="2" customWidth="1"/>
    <col min="6661" max="6662" width="11" style="2"/>
    <col min="6663" max="6663" width="11.85546875" style="2" customWidth="1"/>
    <col min="6664" max="6664" width="9.7109375" style="2" customWidth="1"/>
    <col min="6665" max="6914" width="11" style="2"/>
    <col min="6915" max="6915" width="7.42578125" style="2" customWidth="1"/>
    <col min="6916" max="6916" width="14.42578125" style="2" customWidth="1"/>
    <col min="6917" max="6918" width="11" style="2"/>
    <col min="6919" max="6919" width="11.85546875" style="2" customWidth="1"/>
    <col min="6920" max="6920" width="9.7109375" style="2" customWidth="1"/>
    <col min="6921" max="7170" width="11" style="2"/>
    <col min="7171" max="7171" width="7.42578125" style="2" customWidth="1"/>
    <col min="7172" max="7172" width="14.42578125" style="2" customWidth="1"/>
    <col min="7173" max="7174" width="11" style="2"/>
    <col min="7175" max="7175" width="11.85546875" style="2" customWidth="1"/>
    <col min="7176" max="7176" width="9.7109375" style="2" customWidth="1"/>
    <col min="7177" max="7426" width="11" style="2"/>
    <col min="7427" max="7427" width="7.42578125" style="2" customWidth="1"/>
    <col min="7428" max="7428" width="14.42578125" style="2" customWidth="1"/>
    <col min="7429" max="7430" width="11" style="2"/>
    <col min="7431" max="7431" width="11.85546875" style="2" customWidth="1"/>
    <col min="7432" max="7432" width="9.7109375" style="2" customWidth="1"/>
    <col min="7433" max="7682" width="11" style="2"/>
    <col min="7683" max="7683" width="7.42578125" style="2" customWidth="1"/>
    <col min="7684" max="7684" width="14.42578125" style="2" customWidth="1"/>
    <col min="7685" max="7686" width="11" style="2"/>
    <col min="7687" max="7687" width="11.85546875" style="2" customWidth="1"/>
    <col min="7688" max="7688" width="9.7109375" style="2" customWidth="1"/>
    <col min="7689" max="7938" width="11" style="2"/>
    <col min="7939" max="7939" width="7.42578125" style="2" customWidth="1"/>
    <col min="7940" max="7940" width="14.42578125" style="2" customWidth="1"/>
    <col min="7941" max="7942" width="11" style="2"/>
    <col min="7943" max="7943" width="11.85546875" style="2" customWidth="1"/>
    <col min="7944" max="7944" width="9.7109375" style="2" customWidth="1"/>
    <col min="7945" max="8194" width="11" style="2"/>
    <col min="8195" max="8195" width="7.42578125" style="2" customWidth="1"/>
    <col min="8196" max="8196" width="14.42578125" style="2" customWidth="1"/>
    <col min="8197" max="8198" width="11" style="2"/>
    <col min="8199" max="8199" width="11.85546875" style="2" customWidth="1"/>
    <col min="8200" max="8200" width="9.7109375" style="2" customWidth="1"/>
    <col min="8201" max="8450" width="11" style="2"/>
    <col min="8451" max="8451" width="7.42578125" style="2" customWidth="1"/>
    <col min="8452" max="8452" width="14.42578125" style="2" customWidth="1"/>
    <col min="8453" max="8454" width="11" style="2"/>
    <col min="8455" max="8455" width="11.85546875" style="2" customWidth="1"/>
    <col min="8456" max="8456" width="9.7109375" style="2" customWidth="1"/>
    <col min="8457" max="8706" width="11" style="2"/>
    <col min="8707" max="8707" width="7.42578125" style="2" customWidth="1"/>
    <col min="8708" max="8708" width="14.42578125" style="2" customWidth="1"/>
    <col min="8709" max="8710" width="11" style="2"/>
    <col min="8711" max="8711" width="11.85546875" style="2" customWidth="1"/>
    <col min="8712" max="8712" width="9.7109375" style="2" customWidth="1"/>
    <col min="8713" max="8962" width="11" style="2"/>
    <col min="8963" max="8963" width="7.42578125" style="2" customWidth="1"/>
    <col min="8964" max="8964" width="14.42578125" style="2" customWidth="1"/>
    <col min="8965" max="8966" width="11" style="2"/>
    <col min="8967" max="8967" width="11.85546875" style="2" customWidth="1"/>
    <col min="8968" max="8968" width="9.7109375" style="2" customWidth="1"/>
    <col min="8969" max="9218" width="11" style="2"/>
    <col min="9219" max="9219" width="7.42578125" style="2" customWidth="1"/>
    <col min="9220" max="9220" width="14.42578125" style="2" customWidth="1"/>
    <col min="9221" max="9222" width="11" style="2"/>
    <col min="9223" max="9223" width="11.85546875" style="2" customWidth="1"/>
    <col min="9224" max="9224" width="9.7109375" style="2" customWidth="1"/>
    <col min="9225" max="9474" width="11" style="2"/>
    <col min="9475" max="9475" width="7.42578125" style="2" customWidth="1"/>
    <col min="9476" max="9476" width="14.42578125" style="2" customWidth="1"/>
    <col min="9477" max="9478" width="11" style="2"/>
    <col min="9479" max="9479" width="11.85546875" style="2" customWidth="1"/>
    <col min="9480" max="9480" width="9.7109375" style="2" customWidth="1"/>
    <col min="9481" max="9730" width="11" style="2"/>
    <col min="9731" max="9731" width="7.42578125" style="2" customWidth="1"/>
    <col min="9732" max="9732" width="14.42578125" style="2" customWidth="1"/>
    <col min="9733" max="9734" width="11" style="2"/>
    <col min="9735" max="9735" width="11.85546875" style="2" customWidth="1"/>
    <col min="9736" max="9736" width="9.7109375" style="2" customWidth="1"/>
    <col min="9737" max="9986" width="11" style="2"/>
    <col min="9987" max="9987" width="7.42578125" style="2" customWidth="1"/>
    <col min="9988" max="9988" width="14.42578125" style="2" customWidth="1"/>
    <col min="9989" max="9990" width="11" style="2"/>
    <col min="9991" max="9991" width="11.85546875" style="2" customWidth="1"/>
    <col min="9992" max="9992" width="9.7109375" style="2" customWidth="1"/>
    <col min="9993" max="10242" width="11" style="2"/>
    <col min="10243" max="10243" width="7.42578125" style="2" customWidth="1"/>
    <col min="10244" max="10244" width="14.42578125" style="2" customWidth="1"/>
    <col min="10245" max="10246" width="11" style="2"/>
    <col min="10247" max="10247" width="11.85546875" style="2" customWidth="1"/>
    <col min="10248" max="10248" width="9.7109375" style="2" customWidth="1"/>
    <col min="10249" max="10498" width="11" style="2"/>
    <col min="10499" max="10499" width="7.42578125" style="2" customWidth="1"/>
    <col min="10500" max="10500" width="14.42578125" style="2" customWidth="1"/>
    <col min="10501" max="10502" width="11" style="2"/>
    <col min="10503" max="10503" width="11.85546875" style="2" customWidth="1"/>
    <col min="10504" max="10504" width="9.7109375" style="2" customWidth="1"/>
    <col min="10505" max="10754" width="11" style="2"/>
    <col min="10755" max="10755" width="7.42578125" style="2" customWidth="1"/>
    <col min="10756" max="10756" width="14.42578125" style="2" customWidth="1"/>
    <col min="10757" max="10758" width="11" style="2"/>
    <col min="10759" max="10759" width="11.85546875" style="2" customWidth="1"/>
    <col min="10760" max="10760" width="9.7109375" style="2" customWidth="1"/>
    <col min="10761" max="11010" width="11" style="2"/>
    <col min="11011" max="11011" width="7.42578125" style="2" customWidth="1"/>
    <col min="11012" max="11012" width="14.42578125" style="2" customWidth="1"/>
    <col min="11013" max="11014" width="11" style="2"/>
    <col min="11015" max="11015" width="11.85546875" style="2" customWidth="1"/>
    <col min="11016" max="11016" width="9.7109375" style="2" customWidth="1"/>
    <col min="11017" max="11266" width="11" style="2"/>
    <col min="11267" max="11267" width="7.42578125" style="2" customWidth="1"/>
    <col min="11268" max="11268" width="14.42578125" style="2" customWidth="1"/>
    <col min="11269" max="11270" width="11" style="2"/>
    <col min="11271" max="11271" width="11.85546875" style="2" customWidth="1"/>
    <col min="11272" max="11272" width="9.7109375" style="2" customWidth="1"/>
    <col min="11273" max="11522" width="11" style="2"/>
    <col min="11523" max="11523" width="7.42578125" style="2" customWidth="1"/>
    <col min="11524" max="11524" width="14.42578125" style="2" customWidth="1"/>
    <col min="11525" max="11526" width="11" style="2"/>
    <col min="11527" max="11527" width="11.85546875" style="2" customWidth="1"/>
    <col min="11528" max="11528" width="9.7109375" style="2" customWidth="1"/>
    <col min="11529" max="11778" width="11" style="2"/>
    <col min="11779" max="11779" width="7.42578125" style="2" customWidth="1"/>
    <col min="11780" max="11780" width="14.42578125" style="2" customWidth="1"/>
    <col min="11781" max="11782" width="11" style="2"/>
    <col min="11783" max="11783" width="11.85546875" style="2" customWidth="1"/>
    <col min="11784" max="11784" width="9.7109375" style="2" customWidth="1"/>
    <col min="11785" max="12034" width="11" style="2"/>
    <col min="12035" max="12035" width="7.42578125" style="2" customWidth="1"/>
    <col min="12036" max="12036" width="14.42578125" style="2" customWidth="1"/>
    <col min="12037" max="12038" width="11" style="2"/>
    <col min="12039" max="12039" width="11.85546875" style="2" customWidth="1"/>
    <col min="12040" max="12040" width="9.7109375" style="2" customWidth="1"/>
    <col min="12041" max="12290" width="11" style="2"/>
    <col min="12291" max="12291" width="7.42578125" style="2" customWidth="1"/>
    <col min="12292" max="12292" width="14.42578125" style="2" customWidth="1"/>
    <col min="12293" max="12294" width="11" style="2"/>
    <col min="12295" max="12295" width="11.85546875" style="2" customWidth="1"/>
    <col min="12296" max="12296" width="9.7109375" style="2" customWidth="1"/>
    <col min="12297" max="12546" width="11" style="2"/>
    <col min="12547" max="12547" width="7.42578125" style="2" customWidth="1"/>
    <col min="12548" max="12548" width="14.42578125" style="2" customWidth="1"/>
    <col min="12549" max="12550" width="11" style="2"/>
    <col min="12551" max="12551" width="11.85546875" style="2" customWidth="1"/>
    <col min="12552" max="12552" width="9.7109375" style="2" customWidth="1"/>
    <col min="12553" max="12802" width="11" style="2"/>
    <col min="12803" max="12803" width="7.42578125" style="2" customWidth="1"/>
    <col min="12804" max="12804" width="14.42578125" style="2" customWidth="1"/>
    <col min="12805" max="12806" width="11" style="2"/>
    <col min="12807" max="12807" width="11.85546875" style="2" customWidth="1"/>
    <col min="12808" max="12808" width="9.7109375" style="2" customWidth="1"/>
    <col min="12809" max="13058" width="11" style="2"/>
    <col min="13059" max="13059" width="7.42578125" style="2" customWidth="1"/>
    <col min="13060" max="13060" width="14.42578125" style="2" customWidth="1"/>
    <col min="13061" max="13062" width="11" style="2"/>
    <col min="13063" max="13063" width="11.85546875" style="2" customWidth="1"/>
    <col min="13064" max="13064" width="9.7109375" style="2" customWidth="1"/>
    <col min="13065" max="13314" width="11" style="2"/>
    <col min="13315" max="13315" width="7.42578125" style="2" customWidth="1"/>
    <col min="13316" max="13316" width="14.42578125" style="2" customWidth="1"/>
    <col min="13317" max="13318" width="11" style="2"/>
    <col min="13319" max="13319" width="11.85546875" style="2" customWidth="1"/>
    <col min="13320" max="13320" width="9.7109375" style="2" customWidth="1"/>
    <col min="13321" max="13570" width="11" style="2"/>
    <col min="13571" max="13571" width="7.42578125" style="2" customWidth="1"/>
    <col min="13572" max="13572" width="14.42578125" style="2" customWidth="1"/>
    <col min="13573" max="13574" width="11" style="2"/>
    <col min="13575" max="13575" width="11.85546875" style="2" customWidth="1"/>
    <col min="13576" max="13576" width="9.7109375" style="2" customWidth="1"/>
    <col min="13577" max="13826" width="11" style="2"/>
    <col min="13827" max="13827" width="7.42578125" style="2" customWidth="1"/>
    <col min="13828" max="13828" width="14.42578125" style="2" customWidth="1"/>
    <col min="13829" max="13830" width="11" style="2"/>
    <col min="13831" max="13831" width="11.85546875" style="2" customWidth="1"/>
    <col min="13832" max="13832" width="9.7109375" style="2" customWidth="1"/>
    <col min="13833" max="14082" width="11" style="2"/>
    <col min="14083" max="14083" width="7.42578125" style="2" customWidth="1"/>
    <col min="14084" max="14084" width="14.42578125" style="2" customWidth="1"/>
    <col min="14085" max="14086" width="11" style="2"/>
    <col min="14087" max="14087" width="11.85546875" style="2" customWidth="1"/>
    <col min="14088" max="14088" width="9.7109375" style="2" customWidth="1"/>
    <col min="14089" max="14338" width="11" style="2"/>
    <col min="14339" max="14339" width="7.42578125" style="2" customWidth="1"/>
    <col min="14340" max="14340" width="14.42578125" style="2" customWidth="1"/>
    <col min="14341" max="14342" width="11" style="2"/>
    <col min="14343" max="14343" width="11.85546875" style="2" customWidth="1"/>
    <col min="14344" max="14344" width="9.7109375" style="2" customWidth="1"/>
    <col min="14345" max="14594" width="11" style="2"/>
    <col min="14595" max="14595" width="7.42578125" style="2" customWidth="1"/>
    <col min="14596" max="14596" width="14.42578125" style="2" customWidth="1"/>
    <col min="14597" max="14598" width="11" style="2"/>
    <col min="14599" max="14599" width="11.85546875" style="2" customWidth="1"/>
    <col min="14600" max="14600" width="9.7109375" style="2" customWidth="1"/>
    <col min="14601" max="14850" width="11" style="2"/>
    <col min="14851" max="14851" width="7.42578125" style="2" customWidth="1"/>
    <col min="14852" max="14852" width="14.42578125" style="2" customWidth="1"/>
    <col min="14853" max="14854" width="11" style="2"/>
    <col min="14855" max="14855" width="11.85546875" style="2" customWidth="1"/>
    <col min="14856" max="14856" width="9.7109375" style="2" customWidth="1"/>
    <col min="14857" max="15106" width="11" style="2"/>
    <col min="15107" max="15107" width="7.42578125" style="2" customWidth="1"/>
    <col min="15108" max="15108" width="14.42578125" style="2" customWidth="1"/>
    <col min="15109" max="15110" width="11" style="2"/>
    <col min="15111" max="15111" width="11.85546875" style="2" customWidth="1"/>
    <col min="15112" max="15112" width="9.7109375" style="2" customWidth="1"/>
    <col min="15113" max="15362" width="11" style="2"/>
    <col min="15363" max="15363" width="7.42578125" style="2" customWidth="1"/>
    <col min="15364" max="15364" width="14.42578125" style="2" customWidth="1"/>
    <col min="15365" max="15366" width="11" style="2"/>
    <col min="15367" max="15367" width="11.85546875" style="2" customWidth="1"/>
    <col min="15368" max="15368" width="9.7109375" style="2" customWidth="1"/>
    <col min="15369" max="15618" width="11" style="2"/>
    <col min="15619" max="15619" width="7.42578125" style="2" customWidth="1"/>
    <col min="15620" max="15620" width="14.42578125" style="2" customWidth="1"/>
    <col min="15621" max="15622" width="11" style="2"/>
    <col min="15623" max="15623" width="11.85546875" style="2" customWidth="1"/>
    <col min="15624" max="15624" width="9.7109375" style="2" customWidth="1"/>
    <col min="15625" max="15874" width="11" style="2"/>
    <col min="15875" max="15875" width="7.42578125" style="2" customWidth="1"/>
    <col min="15876" max="15876" width="14.42578125" style="2" customWidth="1"/>
    <col min="15877" max="15878" width="11" style="2"/>
    <col min="15879" max="15879" width="11.85546875" style="2" customWidth="1"/>
    <col min="15880" max="15880" width="9.7109375" style="2" customWidth="1"/>
    <col min="15881" max="16130" width="11" style="2"/>
    <col min="16131" max="16131" width="7.42578125" style="2" customWidth="1"/>
    <col min="16132" max="16132" width="14.42578125" style="2" customWidth="1"/>
    <col min="16133" max="16134" width="11" style="2"/>
    <col min="16135" max="16135" width="11.85546875" style="2" customWidth="1"/>
    <col min="16136" max="16136" width="9.7109375" style="2" customWidth="1"/>
    <col min="16137" max="16384" width="11" style="2"/>
  </cols>
  <sheetData>
    <row r="1" spans="1:9" ht="23.25">
      <c r="A1" s="103" t="s">
        <v>16</v>
      </c>
      <c r="B1" s="103"/>
      <c r="C1" s="103"/>
      <c r="D1" s="103"/>
      <c r="E1" s="103"/>
      <c r="F1" s="103"/>
      <c r="G1" s="103"/>
      <c r="H1" s="103"/>
    </row>
    <row r="2" spans="1:9" ht="23.25">
      <c r="A2" s="103" t="s">
        <v>17</v>
      </c>
      <c r="B2" s="103"/>
      <c r="C2" s="103"/>
      <c r="D2" s="103"/>
      <c r="E2" s="103"/>
      <c r="F2" s="103"/>
      <c r="G2" s="103"/>
      <c r="H2" s="103"/>
    </row>
    <row r="3" spans="1:9" ht="23.25">
      <c r="A3" s="103" t="s">
        <v>18</v>
      </c>
      <c r="B3" s="103"/>
      <c r="C3" s="103"/>
      <c r="D3" s="103"/>
      <c r="E3" s="103"/>
      <c r="F3" s="103"/>
      <c r="G3" s="103"/>
      <c r="H3" s="103"/>
    </row>
    <row r="4" spans="1:9" ht="23.25">
      <c r="A4" s="103" t="s">
        <v>19</v>
      </c>
      <c r="B4" s="103"/>
      <c r="C4" s="103"/>
      <c r="D4" s="103"/>
      <c r="E4" s="103"/>
      <c r="F4" s="103"/>
      <c r="G4" s="103"/>
      <c r="H4" s="103"/>
    </row>
    <row r="5" spans="1:9" ht="27" thickBot="1">
      <c r="A5" s="104" t="s">
        <v>20</v>
      </c>
      <c r="B5" s="104"/>
      <c r="C5" s="104"/>
      <c r="E5" s="93" t="s">
        <v>195</v>
      </c>
      <c r="F5" s="93"/>
      <c r="G5" s="93"/>
      <c r="H5" s="93"/>
    </row>
    <row r="6" spans="1:9" ht="21.75" thickTop="1">
      <c r="C6" s="109" t="s">
        <v>21</v>
      </c>
      <c r="D6" s="110"/>
      <c r="E6" s="110"/>
      <c r="F6" s="111"/>
    </row>
    <row r="7" spans="1:9" ht="21.75" thickBot="1">
      <c r="C7" s="112"/>
      <c r="D7" s="113"/>
      <c r="E7" s="113"/>
      <c r="F7" s="114"/>
    </row>
    <row r="8" spans="1:9" ht="30.75" thickTop="1">
      <c r="A8" s="3" t="s">
        <v>22</v>
      </c>
      <c r="B8" s="24">
        <v>12007</v>
      </c>
      <c r="C8" s="102" t="s">
        <v>196</v>
      </c>
      <c r="D8" s="102"/>
    </row>
    <row r="9" spans="1:9" ht="26.25">
      <c r="A9" s="93" t="s">
        <v>23</v>
      </c>
      <c r="B9" s="93"/>
      <c r="C9" s="93" t="str">
        <f>VLOOKUP(B8,'كل التخصصات'!A3:O87,5,1)</f>
        <v>ميساوي فتيحة</v>
      </c>
      <c r="D9" s="93"/>
      <c r="E9" s="94" t="s">
        <v>125</v>
      </c>
      <c r="F9" s="94"/>
      <c r="G9" s="23">
        <f>VLOOKUP(B8,'كل التخصصات'!A3:O87,13,1)</f>
        <v>0</v>
      </c>
      <c r="H9" s="15"/>
      <c r="I9" s="15"/>
    </row>
    <row r="10" spans="1:9" ht="26.25">
      <c r="C10" s="93" t="str">
        <f>VLOOKUP(B8,'كل التخصصات'!A3:O87,6,1)</f>
        <v>//</v>
      </c>
      <c r="D10" s="93"/>
      <c r="E10" s="94" t="s">
        <v>126</v>
      </c>
      <c r="F10" s="94"/>
      <c r="G10" s="23">
        <f>VLOOKUP(B8,'كل التخصصات'!A3:O87,14,1)</f>
        <v>0</v>
      </c>
    </row>
    <row r="11" spans="1:9" ht="30">
      <c r="A11" s="95" t="s">
        <v>24</v>
      </c>
      <c r="B11" s="95"/>
      <c r="C11" s="95"/>
      <c r="D11" s="95"/>
      <c r="E11" s="94" t="s">
        <v>127</v>
      </c>
      <c r="F11" s="94"/>
      <c r="G11" s="23">
        <f>VLOOKUP(B8,'كل التخصصات'!A3:O87,15,1)</f>
        <v>0</v>
      </c>
    </row>
    <row r="12" spans="1:9" ht="26.25">
      <c r="A12" s="4"/>
      <c r="B12" s="5" t="s">
        <v>25</v>
      </c>
      <c r="C12" s="97" t="str">
        <f>VLOOKUP(B8,'كل التخصصات'!A3:O87,11,1)</f>
        <v>دراسات لغوية</v>
      </c>
      <c r="D12" s="97"/>
      <c r="E12" s="97"/>
    </row>
    <row r="13" spans="1:9" ht="26.25">
      <c r="A13" s="4"/>
      <c r="B13" s="5" t="s">
        <v>26</v>
      </c>
      <c r="C13" s="98" t="str">
        <f>VLOOKUP(B8,'كل التخصصات'!A3:O87,12,1)</f>
        <v>تعليمية اللغات</v>
      </c>
      <c r="D13" s="98"/>
      <c r="E13" s="98"/>
    </row>
    <row r="14" spans="1:9" ht="27" customHeight="1">
      <c r="A14" s="4" t="s">
        <v>27</v>
      </c>
      <c r="B14" s="99" t="str">
        <f>VLOOKUP(B8,'كل التخصصات'!A3:O87,2,1)</f>
        <v>محتوى النصوص و استراتيجية تحليلها و أثرها في تحقيق الكفاءة القاعدية _مستوى الطور المتوسط انموذجا_</v>
      </c>
      <c r="C14" s="99"/>
      <c r="D14" s="99"/>
      <c r="E14" s="99"/>
      <c r="F14" s="99"/>
      <c r="G14" s="99"/>
      <c r="H14" s="99"/>
    </row>
    <row r="15" spans="1:9" ht="33" thickBot="1">
      <c r="B15" s="100" t="s">
        <v>28</v>
      </c>
      <c r="C15" s="100"/>
      <c r="D15" s="100"/>
      <c r="E15" s="100"/>
      <c r="F15" s="100"/>
      <c r="G15" s="100"/>
    </row>
    <row r="16" spans="1:9" ht="26.25">
      <c r="A16" s="6" t="s">
        <v>29</v>
      </c>
      <c r="B16" s="101" t="s">
        <v>30</v>
      </c>
      <c r="C16" s="101"/>
      <c r="D16" s="7" t="s">
        <v>31</v>
      </c>
      <c r="E16" s="101" t="s">
        <v>32</v>
      </c>
      <c r="F16" s="101"/>
      <c r="G16" s="8" t="s">
        <v>33</v>
      </c>
    </row>
    <row r="17" spans="1:7" ht="30">
      <c r="A17" s="9" t="s">
        <v>34</v>
      </c>
      <c r="B17" s="106" t="str">
        <f>VLOOKUP(B8,'كل التخصصات'!A3:O87,7,1)</f>
        <v>قاسم قادة</v>
      </c>
      <c r="C17" s="106"/>
      <c r="D17" s="10" t="str">
        <f>VLOOKUP(B8,'كل التخصصات'!A3:O87,8,1)</f>
        <v>أستاذ التعليم العالي</v>
      </c>
      <c r="E17" s="107" t="s">
        <v>35</v>
      </c>
      <c r="F17" s="107"/>
      <c r="G17" s="11"/>
    </row>
    <row r="18" spans="1:7" ht="30">
      <c r="A18" s="9" t="s">
        <v>36</v>
      </c>
      <c r="B18" s="106" t="str">
        <f>VLOOKUP(B8,'كل التخصصات'!A3:O87,3,1)</f>
        <v>فارز فاطمة</v>
      </c>
      <c r="C18" s="106"/>
      <c r="D18" s="10" t="str">
        <f>VLOOKUP(B8,'كل التخصصات'!A3:O87,4,1)</f>
        <v xml:space="preserve">استاذ التعليم العالي </v>
      </c>
      <c r="E18" s="107" t="s">
        <v>35</v>
      </c>
      <c r="F18" s="107"/>
      <c r="G18" s="11"/>
    </row>
    <row r="19" spans="1:7" ht="30.75" thickBot="1">
      <c r="A19" s="12" t="s">
        <v>37</v>
      </c>
      <c r="B19" s="108" t="str">
        <f>VLOOKUP(B8,'كل التخصصات'!A3:O87,9,1)</f>
        <v xml:space="preserve">بالول أحمد </v>
      </c>
      <c r="C19" s="108"/>
      <c r="D19" s="13" t="str">
        <f>VLOOKUP(B8,'كل التخصصات'!A3:O87,10,1)</f>
        <v>أستاذ التعليم العالي</v>
      </c>
      <c r="E19" s="96" t="s">
        <v>35</v>
      </c>
      <c r="F19" s="96"/>
      <c r="G19" s="14"/>
    </row>
    <row r="20" spans="1:7" ht="30">
      <c r="A20" s="95" t="s">
        <v>38</v>
      </c>
      <c r="B20" s="95"/>
      <c r="C20" s="95"/>
      <c r="D20" s="95"/>
    </row>
    <row r="21" spans="1:7" ht="23.25" customHeight="1">
      <c r="A21" s="93" t="s">
        <v>124</v>
      </c>
      <c r="B21" s="93"/>
      <c r="C21" s="93"/>
      <c r="D21" s="93"/>
      <c r="E21" s="93"/>
      <c r="F21" s="93"/>
      <c r="G21" s="93"/>
    </row>
    <row r="22" spans="1:7" ht="12" customHeight="1">
      <c r="B22" s="15"/>
      <c r="C22" s="15"/>
      <c r="D22" s="15"/>
    </row>
    <row r="23" spans="1:7" ht="26.25">
      <c r="A23" s="15" t="s">
        <v>39</v>
      </c>
      <c r="B23" s="103" t="s">
        <v>40</v>
      </c>
      <c r="C23" s="103"/>
      <c r="D23" s="16"/>
      <c r="E23" s="103" t="s">
        <v>41</v>
      </c>
      <c r="F23" s="103"/>
      <c r="G23" s="16"/>
    </row>
    <row r="24" spans="1:7" ht="11.25" customHeight="1">
      <c r="B24" s="17"/>
      <c r="C24" s="17"/>
      <c r="D24" s="17"/>
      <c r="E24" s="17"/>
      <c r="F24" s="17"/>
      <c r="G24" s="17"/>
    </row>
    <row r="25" spans="1:7" ht="23.25">
      <c r="B25" s="103" t="s">
        <v>42</v>
      </c>
      <c r="C25" s="103"/>
      <c r="D25" s="16"/>
      <c r="E25" s="103" t="s">
        <v>43</v>
      </c>
      <c r="F25" s="103"/>
      <c r="G25" s="16"/>
    </row>
    <row r="26" spans="1:7" ht="12" customHeight="1">
      <c r="B26" s="17"/>
      <c r="C26" s="17"/>
      <c r="D26" s="17"/>
      <c r="E26" s="17"/>
      <c r="F26" s="17"/>
      <c r="G26" s="17"/>
    </row>
    <row r="27" spans="1:7" ht="23.25">
      <c r="B27" s="103" t="s">
        <v>44</v>
      </c>
      <c r="C27" s="103"/>
      <c r="D27" s="16"/>
      <c r="E27" s="17"/>
      <c r="F27" s="17"/>
      <c r="G27" s="17"/>
    </row>
    <row r="28" spans="1:7" ht="23.25">
      <c r="C28" s="18" t="s">
        <v>45</v>
      </c>
      <c r="D28" s="105">
        <f ca="1">TODAY()</f>
        <v>46148</v>
      </c>
      <c r="E28" s="105"/>
      <c r="F28" s="19" t="s">
        <v>46</v>
      </c>
      <c r="G28" s="20">
        <f ca="1">TODAY()</f>
        <v>46148</v>
      </c>
    </row>
    <row r="29" spans="1:7" ht="30">
      <c r="A29" s="95" t="s">
        <v>12</v>
      </c>
      <c r="B29" s="95"/>
      <c r="C29" s="21"/>
      <c r="D29" s="21"/>
      <c r="E29" s="21"/>
      <c r="F29" s="95" t="s">
        <v>47</v>
      </c>
      <c r="G29" s="95"/>
    </row>
  </sheetData>
  <mergeCells count="37">
    <mergeCell ref="B27:C27"/>
    <mergeCell ref="D28:E28"/>
    <mergeCell ref="A29:B29"/>
    <mergeCell ref="F29:G29"/>
    <mergeCell ref="E5:H5"/>
    <mergeCell ref="A20:D20"/>
    <mergeCell ref="B23:C23"/>
    <mergeCell ref="E23:F23"/>
    <mergeCell ref="B25:C25"/>
    <mergeCell ref="E25:F25"/>
    <mergeCell ref="B17:C17"/>
    <mergeCell ref="E17:F17"/>
    <mergeCell ref="B18:C18"/>
    <mergeCell ref="E18:F18"/>
    <mergeCell ref="B19:C19"/>
    <mergeCell ref="C6:F7"/>
    <mergeCell ref="C8:D8"/>
    <mergeCell ref="A9:B9"/>
    <mergeCell ref="C9:D9"/>
    <mergeCell ref="C10:D10"/>
    <mergeCell ref="A1:H1"/>
    <mergeCell ref="A2:H2"/>
    <mergeCell ref="A3:H3"/>
    <mergeCell ref="A4:H4"/>
    <mergeCell ref="A5:C5"/>
    <mergeCell ref="A21:G21"/>
    <mergeCell ref="E9:F9"/>
    <mergeCell ref="E10:F10"/>
    <mergeCell ref="E11:F11"/>
    <mergeCell ref="A11:D11"/>
    <mergeCell ref="E19:F19"/>
    <mergeCell ref="C12:E12"/>
    <mergeCell ref="C13:E13"/>
    <mergeCell ref="B14:H14"/>
    <mergeCell ref="B15:G15"/>
    <mergeCell ref="B16:C16"/>
    <mergeCell ref="E16:F16"/>
  </mergeCells>
  <pageMargins left="0.196850393700787" right="0.196850393700787" top="0.196850393700787" bottom="0.196850393700787" header="0.31496062992126" footer="0.31496062992126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00B050"/>
  </sheetPr>
  <dimension ref="A1:V193"/>
  <sheetViews>
    <sheetView rightToLeft="1" workbookViewId="0">
      <selection activeCell="W13" sqref="W13"/>
    </sheetView>
  </sheetViews>
  <sheetFormatPr baseColWidth="10" defaultColWidth="11.42578125" defaultRowHeight="15"/>
  <cols>
    <col min="1" max="1" width="4.7109375" customWidth="1"/>
    <col min="2" max="2" width="15.85546875" customWidth="1"/>
    <col min="3" max="3" width="17.28515625" customWidth="1"/>
    <col min="4" max="19" width="2.42578125" customWidth="1"/>
    <col min="20" max="21" width="7.42578125" customWidth="1"/>
    <col min="22" max="22" width="25.7109375" customWidth="1"/>
    <col min="23" max="23" width="24.140625" customWidth="1"/>
    <col min="24" max="24" width="24.85546875" customWidth="1"/>
  </cols>
  <sheetData>
    <row r="1" spans="1:22" s="58" customFormat="1" ht="19.5" thickBot="1">
      <c r="B1" s="58" t="s">
        <v>291</v>
      </c>
      <c r="T1" s="58" t="s">
        <v>292</v>
      </c>
    </row>
    <row r="2" spans="1:22">
      <c r="A2" s="59" t="s">
        <v>132</v>
      </c>
      <c r="B2" s="60" t="s">
        <v>293</v>
      </c>
      <c r="C2" s="60" t="s">
        <v>294</v>
      </c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60" t="s">
        <v>295</v>
      </c>
      <c r="U2" s="60" t="s">
        <v>296</v>
      </c>
      <c r="V2" s="61" t="s">
        <v>297</v>
      </c>
    </row>
    <row r="3" spans="1:22" ht="17.100000000000001" customHeight="1">
      <c r="A3" s="62">
        <v>1</v>
      </c>
      <c r="B3" s="63" t="s">
        <v>298</v>
      </c>
      <c r="C3" s="63" t="s">
        <v>299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4" t="s">
        <v>300</v>
      </c>
    </row>
    <row r="4" spans="1:22" ht="17.100000000000001" hidden="1" customHeight="1">
      <c r="A4" s="62">
        <v>2</v>
      </c>
      <c r="B4" s="63" t="s">
        <v>301</v>
      </c>
      <c r="C4" s="63" t="s">
        <v>302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5" t="s">
        <v>303</v>
      </c>
    </row>
    <row r="5" spans="1:22" ht="17.100000000000001" hidden="1" customHeight="1">
      <c r="A5" s="62">
        <v>3</v>
      </c>
      <c r="B5" s="63" t="s">
        <v>304</v>
      </c>
      <c r="C5" s="63" t="s">
        <v>305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5" t="s">
        <v>303</v>
      </c>
    </row>
    <row r="6" spans="1:22" ht="17.100000000000001" hidden="1" customHeight="1">
      <c r="A6" s="62">
        <v>4</v>
      </c>
      <c r="B6" s="63" t="s">
        <v>306</v>
      </c>
      <c r="C6" s="63" t="s">
        <v>307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5" t="s">
        <v>303</v>
      </c>
    </row>
    <row r="7" spans="1:22" ht="17.100000000000001" customHeight="1">
      <c r="A7" s="62">
        <v>5</v>
      </c>
      <c r="B7" s="63" t="s">
        <v>308</v>
      </c>
      <c r="C7" s="63" t="s">
        <v>309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4" t="s">
        <v>300</v>
      </c>
    </row>
    <row r="8" spans="1:22" ht="17.100000000000001" hidden="1" customHeight="1">
      <c r="A8" s="62">
        <v>6</v>
      </c>
      <c r="B8" s="63" t="s">
        <v>310</v>
      </c>
      <c r="C8" s="63" t="s">
        <v>311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5" t="s">
        <v>303</v>
      </c>
    </row>
    <row r="9" spans="1:22" ht="17.100000000000001" hidden="1" customHeight="1">
      <c r="A9" s="62">
        <v>7</v>
      </c>
      <c r="B9" s="63" t="s">
        <v>312</v>
      </c>
      <c r="C9" s="63" t="s">
        <v>313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5" t="s">
        <v>303</v>
      </c>
    </row>
    <row r="10" spans="1:22" ht="17.100000000000001" hidden="1" customHeight="1">
      <c r="A10" s="62">
        <v>8</v>
      </c>
      <c r="B10" s="63" t="s">
        <v>314</v>
      </c>
      <c r="C10" s="63" t="s">
        <v>315</v>
      </c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5" t="s">
        <v>303</v>
      </c>
    </row>
    <row r="11" spans="1:22" ht="17.100000000000001" hidden="1" customHeight="1">
      <c r="A11" s="62">
        <v>9</v>
      </c>
      <c r="B11" s="63" t="s">
        <v>316</v>
      </c>
      <c r="C11" s="63" t="s">
        <v>317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5" t="s">
        <v>303</v>
      </c>
    </row>
    <row r="12" spans="1:22" ht="17.100000000000001" hidden="1" customHeight="1">
      <c r="A12" s="62">
        <v>10</v>
      </c>
      <c r="B12" s="63" t="s">
        <v>318</v>
      </c>
      <c r="C12" s="63" t="s">
        <v>309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5" t="s">
        <v>303</v>
      </c>
    </row>
    <row r="13" spans="1:22" ht="17.100000000000001" customHeight="1">
      <c r="A13" s="62">
        <v>11</v>
      </c>
      <c r="B13" s="63" t="s">
        <v>319</v>
      </c>
      <c r="C13" s="63" t="s">
        <v>320</v>
      </c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4" t="s">
        <v>300</v>
      </c>
    </row>
    <row r="14" spans="1:22" ht="17.100000000000001" hidden="1" customHeight="1">
      <c r="A14" s="62">
        <v>12</v>
      </c>
      <c r="B14" s="63" t="s">
        <v>321</v>
      </c>
      <c r="C14" s="63" t="s">
        <v>322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5" t="s">
        <v>303</v>
      </c>
    </row>
    <row r="15" spans="1:22" ht="17.100000000000001" hidden="1" customHeight="1">
      <c r="A15" s="62">
        <v>13</v>
      </c>
      <c r="B15" s="63" t="s">
        <v>323</v>
      </c>
      <c r="C15" s="63" t="s">
        <v>324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5" t="s">
        <v>303</v>
      </c>
    </row>
    <row r="16" spans="1:22" ht="17.100000000000001" customHeight="1">
      <c r="A16" s="62">
        <v>14</v>
      </c>
      <c r="B16" s="63" t="s">
        <v>325</v>
      </c>
      <c r="C16" s="63" t="s">
        <v>326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4" t="s">
        <v>300</v>
      </c>
    </row>
    <row r="17" spans="1:22" ht="17.100000000000001" hidden="1" customHeight="1">
      <c r="A17" s="62">
        <v>15</v>
      </c>
      <c r="B17" s="63" t="s">
        <v>327</v>
      </c>
      <c r="C17" s="63" t="s">
        <v>317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5" t="s">
        <v>303</v>
      </c>
    </row>
    <row r="18" spans="1:22" ht="17.100000000000001" hidden="1" customHeight="1">
      <c r="A18" s="62">
        <v>16</v>
      </c>
      <c r="B18" s="63" t="s">
        <v>328</v>
      </c>
      <c r="C18" s="63" t="s">
        <v>329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5" t="s">
        <v>303</v>
      </c>
    </row>
    <row r="19" spans="1:22" ht="17.100000000000001" hidden="1" customHeight="1">
      <c r="A19" s="62">
        <v>17</v>
      </c>
      <c r="B19" s="63" t="s">
        <v>330</v>
      </c>
      <c r="C19" s="63" t="s">
        <v>331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5" t="s">
        <v>303</v>
      </c>
    </row>
    <row r="20" spans="1:22" ht="17.100000000000001" hidden="1" customHeight="1">
      <c r="A20" s="62">
        <v>18</v>
      </c>
      <c r="B20" s="63" t="s">
        <v>332</v>
      </c>
      <c r="C20" s="63" t="s">
        <v>333</v>
      </c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5" t="s">
        <v>303</v>
      </c>
    </row>
    <row r="21" spans="1:22" ht="17.100000000000001" hidden="1" customHeight="1">
      <c r="A21" s="62">
        <v>19</v>
      </c>
      <c r="B21" s="63" t="s">
        <v>334</v>
      </c>
      <c r="C21" s="63" t="s">
        <v>335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5" t="s">
        <v>303</v>
      </c>
    </row>
    <row r="22" spans="1:22" ht="17.100000000000001" hidden="1" customHeight="1">
      <c r="A22" s="62">
        <v>20</v>
      </c>
      <c r="B22" s="63" t="s">
        <v>336</v>
      </c>
      <c r="C22" s="63" t="s">
        <v>337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5" t="s">
        <v>303</v>
      </c>
    </row>
    <row r="23" spans="1:22" ht="17.100000000000001" hidden="1" customHeight="1">
      <c r="A23" s="62">
        <v>21</v>
      </c>
      <c r="B23" s="63" t="s">
        <v>338</v>
      </c>
      <c r="C23" s="63" t="s">
        <v>339</v>
      </c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5" t="s">
        <v>303</v>
      </c>
    </row>
    <row r="24" spans="1:22" ht="17.100000000000001" customHeight="1">
      <c r="A24" s="62">
        <v>22</v>
      </c>
      <c r="B24" s="63" t="s">
        <v>340</v>
      </c>
      <c r="C24" s="63" t="s">
        <v>341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4" t="s">
        <v>300</v>
      </c>
    </row>
    <row r="25" spans="1:22" ht="17.100000000000001" hidden="1" customHeight="1">
      <c r="A25" s="62">
        <v>23</v>
      </c>
      <c r="B25" s="63" t="s">
        <v>342</v>
      </c>
      <c r="C25" s="63" t="s">
        <v>343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5" t="s">
        <v>303</v>
      </c>
    </row>
    <row r="26" spans="1:22" ht="17.100000000000001" hidden="1" customHeight="1">
      <c r="A26" s="62">
        <v>24</v>
      </c>
      <c r="B26" s="63" t="s">
        <v>344</v>
      </c>
      <c r="C26" s="63" t="s">
        <v>345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5" t="s">
        <v>303</v>
      </c>
    </row>
    <row r="27" spans="1:22" ht="17.100000000000001" hidden="1" customHeight="1">
      <c r="A27" s="62">
        <v>25</v>
      </c>
      <c r="B27" s="63" t="s">
        <v>346</v>
      </c>
      <c r="C27" s="63" t="s">
        <v>345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5" t="s">
        <v>303</v>
      </c>
    </row>
    <row r="28" spans="1:22" ht="17.100000000000001" hidden="1" customHeight="1">
      <c r="A28" s="62">
        <v>26</v>
      </c>
      <c r="B28" s="63" t="s">
        <v>347</v>
      </c>
      <c r="C28" s="63" t="s">
        <v>299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5" t="s">
        <v>303</v>
      </c>
    </row>
    <row r="29" spans="1:22" ht="17.100000000000001" customHeight="1">
      <c r="A29" s="62">
        <v>27</v>
      </c>
      <c r="B29" s="63" t="s">
        <v>348</v>
      </c>
      <c r="C29" s="63" t="s">
        <v>349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4" t="s">
        <v>300</v>
      </c>
    </row>
    <row r="30" spans="1:22" ht="17.100000000000001" hidden="1" customHeight="1">
      <c r="A30" s="62">
        <v>28</v>
      </c>
      <c r="B30" s="63" t="s">
        <v>350</v>
      </c>
      <c r="C30" s="63" t="s">
        <v>307</v>
      </c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5" t="s">
        <v>303</v>
      </c>
    </row>
    <row r="31" spans="1:22" ht="17.100000000000001" hidden="1" customHeight="1">
      <c r="A31" s="62">
        <v>29</v>
      </c>
      <c r="B31" s="63" t="s">
        <v>351</v>
      </c>
      <c r="C31" s="63" t="s">
        <v>320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5" t="s">
        <v>303</v>
      </c>
    </row>
    <row r="32" spans="1:22" ht="17.100000000000001" hidden="1" customHeight="1">
      <c r="A32" s="62">
        <v>30</v>
      </c>
      <c r="B32" s="63" t="s">
        <v>352</v>
      </c>
      <c r="C32" s="63" t="s">
        <v>353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5" t="s">
        <v>303</v>
      </c>
    </row>
    <row r="33" spans="1:22" ht="17.100000000000001" hidden="1" customHeight="1">
      <c r="A33" s="62">
        <v>31</v>
      </c>
      <c r="B33" s="63" t="s">
        <v>354</v>
      </c>
      <c r="C33" s="63" t="s">
        <v>355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5" t="s">
        <v>303</v>
      </c>
    </row>
    <row r="34" spans="1:22" ht="17.100000000000001" hidden="1" customHeight="1">
      <c r="A34" s="62">
        <v>32</v>
      </c>
      <c r="B34" s="63" t="s">
        <v>356</v>
      </c>
      <c r="C34" s="63" t="s">
        <v>357</v>
      </c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5" t="s">
        <v>303</v>
      </c>
    </row>
    <row r="35" spans="1:22" ht="17.100000000000001" hidden="1" customHeight="1">
      <c r="A35" s="62">
        <v>33</v>
      </c>
      <c r="B35" s="63" t="s">
        <v>358</v>
      </c>
      <c r="C35" s="63" t="s">
        <v>359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5" t="s">
        <v>303</v>
      </c>
    </row>
    <row r="36" spans="1:22" ht="17.100000000000001" hidden="1" customHeight="1">
      <c r="A36" s="62">
        <v>34</v>
      </c>
      <c r="B36" s="63" t="s">
        <v>360</v>
      </c>
      <c r="C36" s="63" t="s">
        <v>361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5" t="s">
        <v>303</v>
      </c>
    </row>
    <row r="37" spans="1:22" ht="17.100000000000001" hidden="1" customHeight="1">
      <c r="A37" s="62">
        <v>35</v>
      </c>
      <c r="B37" s="63" t="s">
        <v>362</v>
      </c>
      <c r="C37" s="63" t="s">
        <v>363</v>
      </c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5" t="s">
        <v>303</v>
      </c>
    </row>
    <row r="38" spans="1:22" ht="17.100000000000001" customHeight="1">
      <c r="A38" s="62">
        <v>36</v>
      </c>
      <c r="B38" s="63" t="s">
        <v>364</v>
      </c>
      <c r="C38" s="63" t="s">
        <v>365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4" t="s">
        <v>300</v>
      </c>
    </row>
    <row r="39" spans="1:22" ht="17.100000000000001" customHeight="1">
      <c r="A39" s="62">
        <v>37</v>
      </c>
      <c r="B39" s="63" t="s">
        <v>366</v>
      </c>
      <c r="C39" s="63" t="s">
        <v>367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4" t="s">
        <v>300</v>
      </c>
    </row>
    <row r="40" spans="1:22" ht="17.100000000000001" hidden="1" customHeight="1">
      <c r="A40" s="62">
        <v>38</v>
      </c>
      <c r="B40" s="63" t="s">
        <v>368</v>
      </c>
      <c r="C40" s="63" t="s">
        <v>369</v>
      </c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5" t="s">
        <v>303</v>
      </c>
    </row>
    <row r="41" spans="1:22" ht="17.100000000000001" hidden="1" customHeight="1">
      <c r="A41" s="62">
        <v>39</v>
      </c>
      <c r="B41" s="63" t="s">
        <v>370</v>
      </c>
      <c r="C41" s="63" t="s">
        <v>371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5" t="s">
        <v>303</v>
      </c>
    </row>
    <row r="42" spans="1:22" ht="17.100000000000001" hidden="1" customHeight="1">
      <c r="A42" s="62">
        <v>40</v>
      </c>
      <c r="B42" s="63" t="s">
        <v>372</v>
      </c>
      <c r="C42" s="63" t="s">
        <v>373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5" t="s">
        <v>303</v>
      </c>
    </row>
    <row r="43" spans="1:22" ht="17.100000000000001" customHeight="1">
      <c r="A43" s="62">
        <v>41</v>
      </c>
      <c r="B43" s="63" t="s">
        <v>374</v>
      </c>
      <c r="C43" s="63" t="s">
        <v>375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4" t="s">
        <v>300</v>
      </c>
    </row>
    <row r="44" spans="1:22" ht="17.100000000000001" hidden="1" customHeight="1" thickBot="1">
      <c r="A44" s="66">
        <v>42</v>
      </c>
      <c r="B44" s="67" t="s">
        <v>376</v>
      </c>
      <c r="C44" s="67" t="s">
        <v>377</v>
      </c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8" t="s">
        <v>303</v>
      </c>
    </row>
    <row r="45" spans="1:22" ht="29.1" customHeight="1">
      <c r="A45" s="69"/>
      <c r="B45" s="69"/>
      <c r="C45" s="69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</row>
    <row r="46" spans="1:22" ht="29.1" customHeight="1">
      <c r="A46" s="69"/>
      <c r="B46" s="69"/>
      <c r="C46" s="69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</row>
    <row r="47" spans="1:22" ht="29.1" customHeight="1">
      <c r="A47" s="69"/>
      <c r="B47" s="69"/>
      <c r="C47" s="69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</row>
    <row r="48" spans="1:22" ht="29.1" customHeight="1">
      <c r="A48" s="69"/>
      <c r="B48" s="69"/>
      <c r="C48" s="69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</row>
    <row r="49" spans="1:21" ht="29.1" customHeight="1">
      <c r="A49" s="69"/>
      <c r="B49" s="69"/>
      <c r="C49" s="69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</row>
    <row r="50" spans="1:21" ht="29.1" customHeight="1">
      <c r="A50" s="69"/>
      <c r="B50" s="69"/>
      <c r="C50" s="69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</row>
    <row r="51" spans="1:21" ht="29.1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</row>
    <row r="52" spans="1:21" ht="29.1" customHeight="1">
      <c r="A52" s="69"/>
      <c r="B52" s="69"/>
      <c r="C52" s="69"/>
    </row>
    <row r="53" spans="1:21" ht="29.1" customHeight="1">
      <c r="A53" s="69"/>
      <c r="B53" s="69"/>
      <c r="C53" s="69"/>
    </row>
    <row r="54" spans="1:21" ht="29.1" customHeight="1">
      <c r="A54" s="69"/>
      <c r="B54" s="69"/>
      <c r="C54" s="69"/>
    </row>
    <row r="55" spans="1:21" ht="18.95" customHeight="1">
      <c r="A55" s="69"/>
      <c r="B55" s="69"/>
      <c r="C55" s="69"/>
    </row>
    <row r="56" spans="1:21" ht="18.95" customHeight="1">
      <c r="A56" s="69"/>
      <c r="B56" s="69"/>
      <c r="C56" s="69"/>
    </row>
    <row r="57" spans="1:21" ht="18.95" customHeight="1">
      <c r="A57" s="69"/>
      <c r="B57" s="69"/>
      <c r="C57" s="69"/>
    </row>
    <row r="58" spans="1:21" ht="18.95" customHeight="1">
      <c r="A58" s="69"/>
      <c r="B58" s="69"/>
      <c r="C58" s="69"/>
    </row>
    <row r="59" spans="1:21" ht="18.95" customHeight="1">
      <c r="A59" s="69"/>
      <c r="B59" s="69"/>
      <c r="C59" s="69"/>
    </row>
    <row r="60" spans="1:21" ht="18.95" customHeight="1">
      <c r="A60" s="69"/>
      <c r="B60" s="69"/>
      <c r="C60" s="69"/>
    </row>
    <row r="61" spans="1:21" ht="18.95" customHeight="1">
      <c r="A61" s="69"/>
      <c r="B61" s="69"/>
      <c r="C61" s="69"/>
    </row>
    <row r="62" spans="1:21" ht="18.95" customHeight="1">
      <c r="A62" s="69"/>
      <c r="B62" s="69"/>
      <c r="C62" s="69"/>
    </row>
    <row r="63" spans="1:21" ht="18.95" customHeight="1">
      <c r="A63" s="69"/>
      <c r="B63" s="69"/>
      <c r="C63" s="69"/>
    </row>
    <row r="64" spans="1:21" ht="18.95" customHeight="1">
      <c r="A64" s="69"/>
      <c r="B64" s="69"/>
      <c r="C64" s="69"/>
    </row>
    <row r="65" spans="1:3" ht="18.95" customHeight="1">
      <c r="A65" s="69"/>
      <c r="B65" s="69"/>
      <c r="C65" s="69"/>
    </row>
    <row r="66" spans="1:3" ht="18.95" customHeight="1">
      <c r="A66" s="69"/>
      <c r="B66" s="69"/>
      <c r="C66" s="69"/>
    </row>
    <row r="67" spans="1:3" ht="18.95" customHeight="1">
      <c r="A67" s="69"/>
      <c r="B67" s="69"/>
      <c r="C67" s="69"/>
    </row>
    <row r="68" spans="1:3" ht="18.95" customHeight="1">
      <c r="A68" s="69"/>
      <c r="B68" s="69"/>
      <c r="C68" s="69"/>
    </row>
    <row r="69" spans="1:3" ht="18.95" customHeight="1">
      <c r="A69" s="69"/>
      <c r="B69" s="69"/>
      <c r="C69" s="69"/>
    </row>
    <row r="70" spans="1:3" ht="18.95" customHeight="1">
      <c r="A70" s="69"/>
      <c r="B70" s="69"/>
      <c r="C70" s="69"/>
    </row>
    <row r="71" spans="1:3" ht="18.95" customHeight="1">
      <c r="A71" s="69"/>
      <c r="B71" s="69"/>
      <c r="C71" s="69"/>
    </row>
    <row r="72" spans="1:3" ht="18.95" customHeight="1">
      <c r="A72" s="69"/>
      <c r="B72" s="69"/>
      <c r="C72" s="69"/>
    </row>
    <row r="73" spans="1:3" ht="18.95" customHeight="1">
      <c r="A73" s="69"/>
      <c r="B73" s="69"/>
      <c r="C73" s="69"/>
    </row>
    <row r="74" spans="1:3" ht="18.95" customHeight="1">
      <c r="A74" s="69"/>
      <c r="B74" s="69"/>
      <c r="C74" s="69"/>
    </row>
    <row r="75" spans="1:3" ht="18.95" customHeight="1">
      <c r="A75" s="69"/>
      <c r="B75" s="69"/>
      <c r="C75" s="69"/>
    </row>
    <row r="76" spans="1:3" ht="18.95" customHeight="1">
      <c r="A76" s="69"/>
      <c r="B76" s="69"/>
      <c r="C76" s="69"/>
    </row>
    <row r="77" spans="1:3" ht="18.95" customHeight="1">
      <c r="A77" s="69"/>
      <c r="B77" s="69"/>
      <c r="C77" s="69"/>
    </row>
    <row r="78" spans="1:3" ht="18.95" customHeight="1">
      <c r="A78" s="69"/>
      <c r="B78" s="69"/>
      <c r="C78" s="69"/>
    </row>
    <row r="79" spans="1:3" ht="18.95" customHeight="1">
      <c r="A79" s="69"/>
      <c r="B79" s="69"/>
      <c r="C79" s="69"/>
    </row>
    <row r="80" spans="1:3" ht="15" customHeight="1">
      <c r="A80" s="69"/>
      <c r="B80" s="69"/>
      <c r="C80" s="69"/>
    </row>
    <row r="81" spans="1:3" ht="15" customHeight="1">
      <c r="A81" s="69"/>
      <c r="B81" s="69"/>
      <c r="C81" s="69"/>
    </row>
    <row r="82" spans="1:3" ht="15" customHeight="1">
      <c r="A82" s="69"/>
      <c r="B82" s="69"/>
      <c r="C82" s="69"/>
    </row>
    <row r="83" spans="1:3" ht="15" customHeight="1">
      <c r="A83" s="69"/>
      <c r="B83" s="69"/>
      <c r="C83" s="69"/>
    </row>
    <row r="84" spans="1:3" ht="15" customHeight="1">
      <c r="A84" s="69"/>
      <c r="B84" s="69"/>
      <c r="C84" s="69"/>
    </row>
    <row r="85" spans="1:3" ht="15" customHeight="1">
      <c r="A85" s="69"/>
      <c r="B85" s="69"/>
      <c r="C85" s="69"/>
    </row>
    <row r="86" spans="1:3" ht="15" customHeight="1">
      <c r="A86" s="69"/>
      <c r="B86" s="69"/>
      <c r="C86" s="69"/>
    </row>
    <row r="87" spans="1:3" ht="15" customHeight="1">
      <c r="A87" s="69"/>
      <c r="B87" s="69"/>
      <c r="C87" s="69"/>
    </row>
    <row r="88" spans="1:3" ht="15" customHeight="1">
      <c r="A88" s="69"/>
      <c r="B88" s="69"/>
      <c r="C88" s="69"/>
    </row>
    <row r="89" spans="1:3" ht="15" customHeight="1">
      <c r="A89" s="69"/>
      <c r="B89" s="69"/>
      <c r="C89" s="69"/>
    </row>
    <row r="90" spans="1:3" ht="15" customHeight="1">
      <c r="A90" s="69"/>
      <c r="B90" s="69"/>
      <c r="C90" s="69"/>
    </row>
    <row r="91" spans="1:3" ht="15" customHeight="1">
      <c r="A91" s="69"/>
      <c r="B91" s="69"/>
      <c r="C91" s="69"/>
    </row>
    <row r="92" spans="1:3" ht="15" customHeight="1">
      <c r="A92" s="69"/>
      <c r="B92" s="69"/>
      <c r="C92" s="69"/>
    </row>
    <row r="93" spans="1:3" ht="15" customHeight="1">
      <c r="A93" s="69"/>
      <c r="B93" s="69"/>
      <c r="C93" s="69"/>
    </row>
    <row r="94" spans="1:3" ht="15" customHeight="1">
      <c r="A94" s="69"/>
      <c r="B94" s="69"/>
      <c r="C94" s="69"/>
    </row>
    <row r="95" spans="1:3" ht="15" customHeight="1">
      <c r="A95" s="69"/>
      <c r="B95" s="69"/>
      <c r="C95" s="69"/>
    </row>
    <row r="96" spans="1:3" ht="15" customHeight="1">
      <c r="A96" s="69"/>
      <c r="B96" s="69"/>
      <c r="C96" s="69"/>
    </row>
    <row r="97" spans="1:3" ht="15" customHeight="1">
      <c r="A97" s="69"/>
      <c r="B97" s="69"/>
      <c r="C97" s="69"/>
    </row>
    <row r="98" spans="1:3" ht="15" customHeight="1">
      <c r="A98" s="69"/>
      <c r="B98" s="69"/>
      <c r="C98" s="69"/>
    </row>
    <row r="99" spans="1:3" ht="15" customHeight="1">
      <c r="A99" s="69"/>
      <c r="B99" s="69"/>
      <c r="C99" s="69"/>
    </row>
    <row r="100" spans="1:3" ht="15" customHeight="1">
      <c r="A100" s="69"/>
      <c r="B100" s="69"/>
      <c r="C100" s="69"/>
    </row>
    <row r="101" spans="1:3" ht="15" customHeight="1">
      <c r="A101" s="69"/>
      <c r="B101" s="69"/>
      <c r="C101" s="69"/>
    </row>
    <row r="102" spans="1:3" ht="15" customHeight="1">
      <c r="A102" s="69"/>
      <c r="B102" s="69"/>
      <c r="C102" s="69"/>
    </row>
    <row r="103" spans="1:3" ht="15" customHeight="1">
      <c r="A103" s="69"/>
      <c r="B103" s="69"/>
      <c r="C103" s="69"/>
    </row>
    <row r="104" spans="1:3" ht="15" customHeight="1">
      <c r="A104" s="69"/>
      <c r="B104" s="69"/>
      <c r="C104" s="69"/>
    </row>
    <row r="105" spans="1:3" ht="15" customHeight="1">
      <c r="A105" s="69"/>
      <c r="B105" s="69"/>
      <c r="C105" s="69"/>
    </row>
    <row r="106" spans="1:3" ht="15" customHeight="1">
      <c r="A106" s="69"/>
      <c r="B106" s="69"/>
      <c r="C106" s="69"/>
    </row>
    <row r="107" spans="1:3" ht="15" customHeight="1">
      <c r="A107" s="69"/>
      <c r="B107" s="69"/>
      <c r="C107" s="69"/>
    </row>
    <row r="108" spans="1:3" ht="15" customHeight="1">
      <c r="A108" s="69"/>
      <c r="B108" s="69"/>
      <c r="C108" s="69"/>
    </row>
    <row r="109" spans="1:3" ht="15" customHeight="1">
      <c r="A109" s="69"/>
      <c r="B109" s="69"/>
      <c r="C109" s="69"/>
    </row>
    <row r="110" spans="1:3" ht="15" customHeight="1">
      <c r="A110" s="69"/>
      <c r="B110" s="69"/>
      <c r="C110" s="69"/>
    </row>
    <row r="111" spans="1:3" ht="15" customHeight="1">
      <c r="A111" s="69"/>
      <c r="B111" s="69"/>
      <c r="C111" s="69"/>
    </row>
    <row r="112" spans="1:3" ht="15" customHeight="1">
      <c r="A112" s="69"/>
      <c r="B112" s="69"/>
      <c r="C112" s="69"/>
    </row>
    <row r="113" spans="1:3" ht="15" customHeight="1">
      <c r="A113" s="69"/>
      <c r="B113" s="69"/>
      <c r="C113" s="69"/>
    </row>
    <row r="114" spans="1:3" ht="15" customHeight="1">
      <c r="A114" s="69"/>
      <c r="B114" s="69"/>
      <c r="C114" s="69"/>
    </row>
    <row r="115" spans="1:3" ht="15" customHeight="1">
      <c r="A115" s="69"/>
      <c r="B115" s="69"/>
      <c r="C115" s="69"/>
    </row>
    <row r="116" spans="1:3" ht="15" customHeight="1">
      <c r="A116" s="69"/>
      <c r="B116" s="69"/>
      <c r="C116" s="69"/>
    </row>
    <row r="117" spans="1:3" ht="15" customHeight="1">
      <c r="A117" s="69"/>
      <c r="B117" s="69"/>
      <c r="C117" s="69"/>
    </row>
    <row r="118" spans="1:3" ht="15" customHeight="1">
      <c r="A118" s="69"/>
      <c r="B118" s="69"/>
      <c r="C118" s="69"/>
    </row>
    <row r="119" spans="1:3" ht="15" customHeight="1">
      <c r="A119" s="69"/>
      <c r="B119" s="69"/>
      <c r="C119" s="69"/>
    </row>
    <row r="120" spans="1:3" ht="15" customHeight="1">
      <c r="A120" s="69"/>
      <c r="B120" s="69"/>
      <c r="C120" s="69"/>
    </row>
    <row r="121" spans="1:3" ht="15" customHeight="1">
      <c r="A121" s="69"/>
      <c r="B121" s="69"/>
      <c r="C121" s="69"/>
    </row>
    <row r="122" spans="1:3" ht="15" customHeight="1">
      <c r="A122" s="69"/>
      <c r="B122" s="69"/>
      <c r="C122" s="69"/>
    </row>
    <row r="123" spans="1:3" ht="15" customHeight="1">
      <c r="A123" s="69"/>
      <c r="B123" s="69"/>
      <c r="C123" s="69"/>
    </row>
    <row r="124" spans="1:3" ht="15" customHeight="1">
      <c r="A124" s="69"/>
      <c r="B124" s="69"/>
      <c r="C124" s="69"/>
    </row>
    <row r="125" spans="1:3" ht="15" customHeight="1">
      <c r="A125" s="69"/>
      <c r="B125" s="69"/>
      <c r="C125" s="69"/>
    </row>
    <row r="126" spans="1:3" ht="15" customHeight="1">
      <c r="A126" s="69"/>
      <c r="B126" s="69"/>
      <c r="C126" s="69"/>
    </row>
    <row r="127" spans="1:3" ht="15" customHeight="1">
      <c r="A127" s="69"/>
      <c r="B127" s="69"/>
      <c r="C127" s="69"/>
    </row>
    <row r="128" spans="1:3" ht="15" customHeight="1">
      <c r="A128" s="69"/>
      <c r="B128" s="69"/>
      <c r="C128" s="69"/>
    </row>
    <row r="129" spans="1:3" ht="15" customHeight="1">
      <c r="A129" s="69"/>
      <c r="B129" s="69"/>
      <c r="C129" s="69"/>
    </row>
    <row r="130" spans="1:3" ht="15" customHeight="1">
      <c r="A130" s="69"/>
      <c r="B130" s="69"/>
      <c r="C130" s="69"/>
    </row>
    <row r="131" spans="1:3" ht="15" customHeight="1">
      <c r="A131" s="69"/>
      <c r="B131" s="69"/>
      <c r="C131" s="69"/>
    </row>
    <row r="132" spans="1:3" ht="15" customHeight="1">
      <c r="A132" s="69"/>
      <c r="B132" s="69"/>
      <c r="C132" s="69"/>
    </row>
    <row r="133" spans="1:3" ht="15" customHeight="1">
      <c r="A133" s="69"/>
      <c r="B133" s="69"/>
      <c r="C133" s="69"/>
    </row>
    <row r="134" spans="1:3" ht="15" customHeight="1">
      <c r="A134" s="69"/>
      <c r="B134" s="69"/>
      <c r="C134" s="69"/>
    </row>
    <row r="135" spans="1:3" ht="15" customHeight="1">
      <c r="A135" s="69"/>
      <c r="B135" s="69"/>
      <c r="C135" s="69"/>
    </row>
    <row r="136" spans="1:3" ht="15" customHeight="1">
      <c r="A136" s="69"/>
      <c r="B136" s="69"/>
      <c r="C136" s="69"/>
    </row>
    <row r="137" spans="1:3" ht="15" customHeight="1">
      <c r="A137" s="69"/>
      <c r="B137" s="69"/>
      <c r="C137" s="69"/>
    </row>
    <row r="138" spans="1:3" ht="15" customHeight="1">
      <c r="A138" s="69"/>
      <c r="B138" s="69"/>
      <c r="C138" s="69"/>
    </row>
    <row r="139" spans="1:3" ht="15" customHeight="1">
      <c r="A139" s="69"/>
      <c r="B139" s="69"/>
      <c r="C139" s="69"/>
    </row>
    <row r="140" spans="1:3" ht="15" customHeight="1">
      <c r="A140" s="69"/>
      <c r="B140" s="69"/>
      <c r="C140" s="69"/>
    </row>
    <row r="141" spans="1:3" ht="15" customHeight="1">
      <c r="A141" s="69"/>
      <c r="B141" s="69"/>
      <c r="C141" s="69"/>
    </row>
    <row r="142" spans="1:3" ht="15" customHeight="1">
      <c r="A142" s="69"/>
      <c r="B142" s="69"/>
      <c r="C142" s="69"/>
    </row>
    <row r="143" spans="1:3" ht="15" customHeight="1">
      <c r="A143" s="69"/>
      <c r="B143" s="69"/>
      <c r="C143" s="69"/>
    </row>
    <row r="144" spans="1:3" ht="15" customHeight="1">
      <c r="A144" s="69"/>
      <c r="B144" s="69"/>
      <c r="C144" s="69"/>
    </row>
    <row r="145" spans="1:3" ht="15" customHeight="1">
      <c r="A145" s="69"/>
      <c r="B145" s="69"/>
      <c r="C145" s="69"/>
    </row>
    <row r="146" spans="1:3" ht="15" customHeight="1">
      <c r="A146" s="69"/>
      <c r="B146" s="69"/>
      <c r="C146" s="69"/>
    </row>
    <row r="147" spans="1:3" ht="15" customHeight="1">
      <c r="A147" s="69"/>
      <c r="B147" s="69"/>
      <c r="C147" s="69"/>
    </row>
    <row r="148" spans="1:3" ht="15" customHeight="1">
      <c r="A148" s="69"/>
      <c r="B148" s="69"/>
      <c r="C148" s="69"/>
    </row>
    <row r="149" spans="1:3" ht="15" customHeight="1">
      <c r="A149" s="69"/>
      <c r="B149" s="69"/>
      <c r="C149" s="69"/>
    </row>
    <row r="150" spans="1:3" ht="15" customHeight="1">
      <c r="A150" s="69"/>
      <c r="B150" s="69"/>
      <c r="C150" s="69"/>
    </row>
    <row r="151" spans="1:3" ht="15" customHeight="1">
      <c r="A151" s="69"/>
      <c r="B151" s="69"/>
      <c r="C151" s="69"/>
    </row>
    <row r="152" spans="1:3" ht="15" customHeight="1">
      <c r="A152" s="69"/>
      <c r="B152" s="69"/>
      <c r="C152" s="69"/>
    </row>
    <row r="153" spans="1:3" ht="15" customHeight="1">
      <c r="A153" s="69"/>
      <c r="B153" s="69"/>
      <c r="C153" s="69"/>
    </row>
    <row r="154" spans="1:3" ht="15" customHeight="1">
      <c r="A154" s="69"/>
      <c r="B154" s="69"/>
      <c r="C154" s="69"/>
    </row>
    <row r="155" spans="1:3" ht="15" customHeight="1">
      <c r="A155" s="69"/>
      <c r="B155" s="69"/>
      <c r="C155" s="69"/>
    </row>
    <row r="156" spans="1:3" ht="15" customHeight="1">
      <c r="A156" s="69"/>
      <c r="B156" s="69"/>
      <c r="C156" s="69"/>
    </row>
    <row r="157" spans="1:3" ht="15" customHeight="1">
      <c r="A157" s="69"/>
      <c r="B157" s="69"/>
      <c r="C157" s="69"/>
    </row>
    <row r="158" spans="1:3" ht="15" customHeight="1">
      <c r="A158" s="69"/>
      <c r="B158" s="69"/>
      <c r="C158" s="69"/>
    </row>
    <row r="159" spans="1:3" ht="15" customHeight="1">
      <c r="A159" s="69"/>
      <c r="B159" s="69"/>
      <c r="C159" s="69"/>
    </row>
    <row r="160" spans="1:3" ht="15" customHeight="1">
      <c r="A160" s="69"/>
      <c r="B160" s="69"/>
      <c r="C160" s="69"/>
    </row>
    <row r="161" spans="1:3" ht="15" customHeight="1">
      <c r="A161" s="69"/>
      <c r="B161" s="69"/>
      <c r="C161" s="69"/>
    </row>
    <row r="162" spans="1:3" ht="15" customHeight="1">
      <c r="A162" s="69"/>
      <c r="B162" s="69"/>
      <c r="C162" s="69"/>
    </row>
    <row r="163" spans="1:3" ht="15" customHeight="1">
      <c r="A163" s="69"/>
      <c r="B163" s="69"/>
      <c r="C163" s="69"/>
    </row>
    <row r="164" spans="1:3" ht="15" customHeight="1">
      <c r="A164" s="69"/>
      <c r="B164" s="69"/>
      <c r="C164" s="69"/>
    </row>
    <row r="165" spans="1:3" ht="15" customHeight="1">
      <c r="A165" s="69"/>
      <c r="B165" s="69"/>
      <c r="C165" s="69"/>
    </row>
    <row r="166" spans="1:3" ht="15" customHeight="1">
      <c r="A166" s="69"/>
      <c r="B166" s="69"/>
      <c r="C166" s="69"/>
    </row>
    <row r="167" spans="1:3" ht="15" customHeight="1">
      <c r="A167" s="69"/>
      <c r="B167" s="69"/>
      <c r="C167" s="69"/>
    </row>
    <row r="168" spans="1:3" ht="15" customHeight="1">
      <c r="A168" s="69"/>
      <c r="B168" s="69"/>
      <c r="C168" s="69"/>
    </row>
    <row r="169" spans="1:3" ht="15" customHeight="1">
      <c r="A169" s="69"/>
      <c r="B169" s="69"/>
      <c r="C169" s="69"/>
    </row>
    <row r="170" spans="1:3" ht="15" customHeight="1">
      <c r="A170" s="69"/>
      <c r="B170" s="69"/>
      <c r="C170" s="69"/>
    </row>
    <row r="171" spans="1:3" ht="15" customHeight="1">
      <c r="A171" s="69"/>
      <c r="B171" s="69"/>
      <c r="C171" s="69"/>
    </row>
    <row r="172" spans="1:3" ht="15" customHeight="1">
      <c r="A172" s="69"/>
      <c r="B172" s="69"/>
      <c r="C172" s="69"/>
    </row>
    <row r="173" spans="1:3" ht="15" customHeight="1">
      <c r="A173" s="69"/>
      <c r="B173" s="69"/>
      <c r="C173" s="69"/>
    </row>
    <row r="174" spans="1:3" ht="15" customHeight="1">
      <c r="A174" s="69"/>
      <c r="B174" s="69"/>
      <c r="C174" s="69"/>
    </row>
    <row r="175" spans="1:3" ht="15" customHeight="1">
      <c r="A175" s="69"/>
      <c r="B175" s="69"/>
      <c r="C175" s="69"/>
    </row>
    <row r="176" spans="1:3" ht="15" customHeight="1">
      <c r="A176" s="69"/>
      <c r="B176" s="69"/>
      <c r="C176" s="69"/>
    </row>
    <row r="177" spans="1:3" ht="15" customHeight="1">
      <c r="A177" s="69"/>
      <c r="B177" s="69"/>
      <c r="C177" s="69"/>
    </row>
    <row r="178" spans="1:3" ht="15" customHeight="1">
      <c r="A178" s="69"/>
      <c r="B178" s="69"/>
      <c r="C178" s="69"/>
    </row>
    <row r="179" spans="1:3" ht="15" customHeight="1">
      <c r="A179" s="69"/>
      <c r="B179" s="69"/>
      <c r="C179" s="69"/>
    </row>
    <row r="180" spans="1:3" ht="15" customHeight="1">
      <c r="A180" s="69"/>
      <c r="B180" s="69"/>
      <c r="C180" s="69"/>
    </row>
    <row r="181" spans="1:3" ht="15" customHeight="1">
      <c r="A181" s="69"/>
      <c r="B181" s="69"/>
      <c r="C181" s="69"/>
    </row>
    <row r="182" spans="1:3" ht="15" customHeight="1">
      <c r="A182" s="69"/>
      <c r="B182" s="69"/>
      <c r="C182" s="69"/>
    </row>
    <row r="183" spans="1:3" ht="15" customHeight="1">
      <c r="A183" s="69"/>
      <c r="B183" s="69"/>
      <c r="C183" s="69"/>
    </row>
    <row r="184" spans="1:3" ht="15" customHeight="1">
      <c r="A184" s="69"/>
      <c r="B184" s="69"/>
      <c r="C184" s="69"/>
    </row>
    <row r="185" spans="1:3" ht="15" customHeight="1">
      <c r="A185" s="69"/>
      <c r="B185" s="69"/>
      <c r="C185" s="69"/>
    </row>
    <row r="186" spans="1:3" ht="15" customHeight="1">
      <c r="A186" s="69"/>
      <c r="B186" s="69"/>
      <c r="C186" s="69"/>
    </row>
    <row r="187" spans="1:3" ht="15" customHeight="1">
      <c r="A187" s="69"/>
      <c r="B187" s="69"/>
      <c r="C187" s="69"/>
    </row>
    <row r="188" spans="1:3" ht="15" customHeight="1">
      <c r="A188" s="69"/>
      <c r="B188" s="69"/>
      <c r="C188" s="69"/>
    </row>
    <row r="189" spans="1:3" ht="15" customHeight="1">
      <c r="A189" s="69"/>
      <c r="B189" s="69"/>
      <c r="C189" s="69"/>
    </row>
    <row r="190" spans="1:3" ht="15" customHeight="1">
      <c r="A190" s="69"/>
      <c r="B190" s="69"/>
      <c r="C190" s="69"/>
    </row>
    <row r="191" spans="1:3" ht="15" customHeight="1">
      <c r="A191" s="69"/>
      <c r="B191" s="69"/>
      <c r="C191" s="69"/>
    </row>
    <row r="192" spans="1:3" ht="15" customHeight="1">
      <c r="A192" s="69"/>
      <c r="B192" s="69"/>
      <c r="C192" s="69"/>
    </row>
    <row r="193" spans="1:3" ht="15" customHeight="1">
      <c r="A193" s="69"/>
      <c r="B193" s="69"/>
      <c r="C193" s="69"/>
    </row>
  </sheetData>
  <autoFilter ref="A2:V44" xr:uid="{00000000-0009-0000-0000-000003000000}"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21">
      <filters>
        <filter val="لم يسند إليه موضوع الأطروحة"/>
      </filters>
    </filterColumn>
  </autoFilter>
  <mergeCells count="4">
    <mergeCell ref="D2:G2"/>
    <mergeCell ref="H2:K2"/>
    <mergeCell ref="L2:O2"/>
    <mergeCell ref="P2:S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E45"/>
  <sheetViews>
    <sheetView rightToLeft="1" zoomScale="90" zoomScaleNormal="90" workbookViewId="0">
      <selection activeCell="B19" sqref="B19"/>
    </sheetView>
  </sheetViews>
  <sheetFormatPr baseColWidth="10" defaultRowHeight="15"/>
  <cols>
    <col min="1" max="1" width="8.5703125" customWidth="1"/>
    <col min="2" max="2" width="85.140625" customWidth="1"/>
    <col min="3" max="3" width="20.5703125" customWidth="1"/>
    <col min="4" max="4" width="20.42578125" customWidth="1"/>
    <col min="5" max="5" width="22.42578125" customWidth="1"/>
  </cols>
  <sheetData>
    <row r="1" spans="1:5" ht="24.75" customHeight="1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</row>
    <row r="2" spans="1:5" ht="26.25">
      <c r="A2" s="71">
        <v>11001</v>
      </c>
      <c r="B2" s="77" t="s">
        <v>378</v>
      </c>
      <c r="C2" s="73" t="s">
        <v>134</v>
      </c>
      <c r="D2" s="73"/>
      <c r="E2" s="73"/>
    </row>
    <row r="3" spans="1:5" ht="26.25">
      <c r="A3" s="74">
        <v>11002</v>
      </c>
      <c r="B3" s="31" t="s">
        <v>158</v>
      </c>
      <c r="C3" s="33" t="s">
        <v>134</v>
      </c>
      <c r="D3" s="33" t="s">
        <v>285</v>
      </c>
      <c r="E3" s="33"/>
    </row>
    <row r="4" spans="1:5" ht="26.25">
      <c r="A4" s="71">
        <v>11003</v>
      </c>
      <c r="B4" s="77" t="s">
        <v>379</v>
      </c>
      <c r="C4" s="73" t="s">
        <v>134</v>
      </c>
      <c r="D4" s="73"/>
      <c r="E4" s="73"/>
    </row>
    <row r="5" spans="1:5" ht="26.25">
      <c r="A5" s="74">
        <v>11004</v>
      </c>
      <c r="B5" s="31" t="s">
        <v>145</v>
      </c>
      <c r="C5" s="33" t="s">
        <v>48</v>
      </c>
      <c r="D5" s="33" t="s">
        <v>274</v>
      </c>
      <c r="E5" s="33"/>
    </row>
    <row r="6" spans="1:5" ht="26.25">
      <c r="A6" s="71">
        <v>11005</v>
      </c>
      <c r="B6" s="72" t="s">
        <v>147</v>
      </c>
      <c r="C6" s="73" t="s">
        <v>48</v>
      </c>
      <c r="D6" s="73" t="s">
        <v>275</v>
      </c>
      <c r="E6" s="73"/>
    </row>
    <row r="7" spans="1:5" ht="26.25">
      <c r="A7" s="74">
        <v>11006</v>
      </c>
      <c r="B7" s="31" t="s">
        <v>159</v>
      </c>
      <c r="C7" s="33" t="s">
        <v>48</v>
      </c>
      <c r="D7" s="33" t="s">
        <v>276</v>
      </c>
      <c r="E7" s="33" t="s">
        <v>277</v>
      </c>
    </row>
    <row r="8" spans="1:5" ht="26.25">
      <c r="A8" s="71">
        <v>11007</v>
      </c>
      <c r="B8" s="72" t="s">
        <v>287</v>
      </c>
      <c r="C8" s="73" t="s">
        <v>48</v>
      </c>
      <c r="D8" s="75" t="s">
        <v>286</v>
      </c>
      <c r="E8" s="73"/>
    </row>
    <row r="9" spans="1:5" ht="26.25">
      <c r="A9" s="74">
        <v>11008</v>
      </c>
      <c r="B9" s="31" t="s">
        <v>160</v>
      </c>
      <c r="C9" s="33" t="s">
        <v>51</v>
      </c>
      <c r="D9" s="33" t="s">
        <v>271</v>
      </c>
      <c r="E9" s="33" t="s">
        <v>272</v>
      </c>
    </row>
    <row r="10" spans="1:5" ht="26.25">
      <c r="A10" s="71">
        <v>11009</v>
      </c>
      <c r="B10" s="72" t="s">
        <v>148</v>
      </c>
      <c r="C10" s="73" t="s">
        <v>51</v>
      </c>
      <c r="D10" s="73" t="s">
        <v>273</v>
      </c>
      <c r="E10" s="73"/>
    </row>
    <row r="11" spans="1:5" ht="43.5" customHeight="1">
      <c r="A11" s="74">
        <v>11010</v>
      </c>
      <c r="B11" s="46" t="s">
        <v>380</v>
      </c>
      <c r="C11" s="33" t="s">
        <v>51</v>
      </c>
      <c r="D11" s="33" t="s">
        <v>269</v>
      </c>
      <c r="E11" s="33" t="s">
        <v>270</v>
      </c>
    </row>
    <row r="12" spans="1:5" ht="26.25">
      <c r="A12" s="71">
        <v>11011</v>
      </c>
      <c r="B12" s="72" t="s">
        <v>149</v>
      </c>
      <c r="C12" s="73" t="s">
        <v>85</v>
      </c>
      <c r="D12" s="73" t="s">
        <v>245</v>
      </c>
      <c r="E12" s="73"/>
    </row>
    <row r="13" spans="1:5" ht="26.25">
      <c r="A13" s="74">
        <v>11012</v>
      </c>
      <c r="B13" s="76" t="s">
        <v>381</v>
      </c>
      <c r="C13" s="33" t="s">
        <v>85</v>
      </c>
      <c r="D13" s="33"/>
      <c r="E13" s="33"/>
    </row>
    <row r="14" spans="1:5" ht="26.25">
      <c r="A14" s="71">
        <v>11013</v>
      </c>
      <c r="B14" s="72" t="s">
        <v>150</v>
      </c>
      <c r="C14" s="73" t="s">
        <v>85</v>
      </c>
      <c r="D14" s="73" t="s">
        <v>246</v>
      </c>
      <c r="E14" s="73" t="s">
        <v>247</v>
      </c>
    </row>
    <row r="15" spans="1:5" ht="26.25">
      <c r="A15" s="74">
        <v>11014</v>
      </c>
      <c r="B15" s="31" t="s">
        <v>161</v>
      </c>
      <c r="C15" s="33" t="s">
        <v>74</v>
      </c>
      <c r="D15" s="33" t="s">
        <v>262</v>
      </c>
      <c r="E15" s="33"/>
    </row>
    <row r="16" spans="1:5" ht="26.25">
      <c r="A16" s="71">
        <v>11015</v>
      </c>
      <c r="B16" s="72" t="s">
        <v>151</v>
      </c>
      <c r="C16" s="73" t="s">
        <v>74</v>
      </c>
      <c r="D16" s="73" t="s">
        <v>260</v>
      </c>
      <c r="E16" s="73" t="s">
        <v>261</v>
      </c>
    </row>
    <row r="17" spans="1:5" ht="26.25">
      <c r="A17" s="74">
        <v>11016</v>
      </c>
      <c r="B17" s="76" t="s">
        <v>382</v>
      </c>
      <c r="C17" s="33" t="s">
        <v>74</v>
      </c>
      <c r="D17" s="33"/>
      <c r="E17" s="33"/>
    </row>
    <row r="18" spans="1:5" ht="26.25">
      <c r="A18" s="71">
        <v>11017</v>
      </c>
      <c r="B18" s="72" t="s">
        <v>162</v>
      </c>
      <c r="C18" s="73" t="s">
        <v>383</v>
      </c>
      <c r="D18" s="73" t="s">
        <v>281</v>
      </c>
      <c r="E18" s="73"/>
    </row>
    <row r="19" spans="1:5" ht="26.25">
      <c r="A19" s="74">
        <v>11018</v>
      </c>
      <c r="B19" s="76" t="s">
        <v>384</v>
      </c>
      <c r="C19" s="33" t="s">
        <v>383</v>
      </c>
      <c r="D19" s="33"/>
      <c r="E19" s="33"/>
    </row>
    <row r="20" spans="1:5" ht="26.25">
      <c r="A20" s="71">
        <v>11019</v>
      </c>
      <c r="B20" s="77" t="s">
        <v>385</v>
      </c>
      <c r="C20" s="73" t="s">
        <v>383</v>
      </c>
      <c r="D20" s="73"/>
      <c r="E20" s="73"/>
    </row>
    <row r="21" spans="1:5" ht="26.25">
      <c r="A21" s="74">
        <v>11020</v>
      </c>
      <c r="B21" s="76" t="s">
        <v>386</v>
      </c>
      <c r="C21" s="33" t="s">
        <v>387</v>
      </c>
      <c r="D21" s="33"/>
      <c r="E21" s="33"/>
    </row>
    <row r="22" spans="1:5" ht="26.25">
      <c r="A22" s="71">
        <v>11021</v>
      </c>
      <c r="B22" s="77" t="s">
        <v>388</v>
      </c>
      <c r="C22" s="73" t="s">
        <v>387</v>
      </c>
      <c r="D22" s="73"/>
      <c r="E22" s="73"/>
    </row>
    <row r="23" spans="1:5" ht="26.25">
      <c r="A23" s="74">
        <v>11022</v>
      </c>
      <c r="B23" s="76" t="s">
        <v>389</v>
      </c>
      <c r="C23" s="33" t="s">
        <v>387</v>
      </c>
      <c r="D23" s="33"/>
      <c r="E23" s="33"/>
    </row>
    <row r="24" spans="1:5" ht="26.25">
      <c r="A24" s="71">
        <v>11023</v>
      </c>
      <c r="B24" s="72" t="s">
        <v>278</v>
      </c>
      <c r="C24" s="73" t="s">
        <v>8</v>
      </c>
      <c r="D24" s="73" t="s">
        <v>279</v>
      </c>
      <c r="E24" s="73" t="s">
        <v>280</v>
      </c>
    </row>
    <row r="25" spans="1:5" ht="26.25">
      <c r="A25" s="74">
        <v>11024</v>
      </c>
      <c r="B25" s="31" t="s">
        <v>282</v>
      </c>
      <c r="C25" s="33" t="s">
        <v>8</v>
      </c>
      <c r="D25" s="33" t="s">
        <v>283</v>
      </c>
      <c r="E25" s="33" t="s">
        <v>284</v>
      </c>
    </row>
    <row r="26" spans="1:5" ht="26.25">
      <c r="A26" s="71">
        <v>11025</v>
      </c>
      <c r="B26" s="77" t="s">
        <v>390</v>
      </c>
      <c r="C26" s="73" t="s">
        <v>8</v>
      </c>
      <c r="D26" s="73"/>
      <c r="E26" s="73"/>
    </row>
    <row r="27" spans="1:5" ht="26.25">
      <c r="A27" s="74">
        <v>11026</v>
      </c>
      <c r="B27" s="31" t="s">
        <v>256</v>
      </c>
      <c r="C27" s="33" t="s">
        <v>7</v>
      </c>
      <c r="D27" s="33" t="s">
        <v>257</v>
      </c>
      <c r="E27" s="33" t="s">
        <v>258</v>
      </c>
    </row>
    <row r="28" spans="1:5" ht="26.25">
      <c r="A28" s="71">
        <v>11027</v>
      </c>
      <c r="B28" s="72" t="s">
        <v>152</v>
      </c>
      <c r="C28" s="73" t="s">
        <v>7</v>
      </c>
      <c r="D28" s="73" t="s">
        <v>259</v>
      </c>
      <c r="E28" s="73"/>
    </row>
    <row r="29" spans="1:5" ht="26.25">
      <c r="A29" s="74">
        <v>11028</v>
      </c>
      <c r="B29" s="31" t="s">
        <v>153</v>
      </c>
      <c r="C29" s="33" t="s">
        <v>7</v>
      </c>
      <c r="D29" s="33" t="s">
        <v>254</v>
      </c>
      <c r="E29" s="33" t="s">
        <v>255</v>
      </c>
    </row>
    <row r="30" spans="1:5" ht="26.25">
      <c r="A30" s="71">
        <v>11029</v>
      </c>
      <c r="B30" s="72" t="s">
        <v>154</v>
      </c>
      <c r="C30" s="73" t="s">
        <v>86</v>
      </c>
      <c r="D30" s="73" t="s">
        <v>263</v>
      </c>
      <c r="E30" s="73" t="s">
        <v>264</v>
      </c>
    </row>
    <row r="31" spans="1:5" ht="26.25">
      <c r="A31" s="74">
        <v>11030</v>
      </c>
      <c r="B31" s="31" t="s">
        <v>156</v>
      </c>
      <c r="C31" s="33" t="s">
        <v>86</v>
      </c>
      <c r="D31" s="33" t="s">
        <v>265</v>
      </c>
      <c r="E31" s="33" t="s">
        <v>266</v>
      </c>
    </row>
    <row r="32" spans="1:5" ht="26.25">
      <c r="A32" s="71">
        <v>11031</v>
      </c>
      <c r="B32" s="72" t="s">
        <v>157</v>
      </c>
      <c r="C32" s="73" t="s">
        <v>86</v>
      </c>
      <c r="D32" s="73" t="s">
        <v>267</v>
      </c>
      <c r="E32" s="73" t="s">
        <v>268</v>
      </c>
    </row>
    <row r="33" spans="1:5" ht="26.25">
      <c r="A33" s="74">
        <v>11032</v>
      </c>
      <c r="B33" s="76" t="s">
        <v>391</v>
      </c>
      <c r="C33" s="33" t="s">
        <v>392</v>
      </c>
      <c r="D33" s="33"/>
      <c r="E33" s="33"/>
    </row>
    <row r="34" spans="1:5" ht="26.25">
      <c r="A34" s="71">
        <v>11033</v>
      </c>
      <c r="B34" s="77" t="s">
        <v>393</v>
      </c>
      <c r="C34" s="73" t="s">
        <v>392</v>
      </c>
      <c r="D34" s="73"/>
      <c r="E34" s="73"/>
    </row>
    <row r="35" spans="1:5" ht="26.25">
      <c r="A35" s="74">
        <v>11034</v>
      </c>
      <c r="B35" s="76" t="s">
        <v>394</v>
      </c>
      <c r="C35" s="33" t="s">
        <v>392</v>
      </c>
      <c r="D35" s="33"/>
      <c r="E35" s="33"/>
    </row>
    <row r="36" spans="1:5" ht="26.25">
      <c r="A36" s="71">
        <v>11035</v>
      </c>
      <c r="B36" s="77" t="s">
        <v>395</v>
      </c>
      <c r="C36" s="73" t="s">
        <v>396</v>
      </c>
      <c r="D36" s="73"/>
      <c r="E36" s="73"/>
    </row>
    <row r="37" spans="1:5" ht="26.25">
      <c r="A37" s="74">
        <v>11036</v>
      </c>
      <c r="B37" s="76" t="s">
        <v>397</v>
      </c>
      <c r="C37" s="33" t="s">
        <v>396</v>
      </c>
      <c r="D37" s="33"/>
      <c r="E37" s="33"/>
    </row>
    <row r="38" spans="1:5" ht="26.25">
      <c r="A38" s="71">
        <v>11037</v>
      </c>
      <c r="B38" s="77" t="s">
        <v>398</v>
      </c>
      <c r="C38" s="73" t="s">
        <v>396</v>
      </c>
      <c r="D38" s="73"/>
      <c r="E38" s="73"/>
    </row>
    <row r="39" spans="1:5" ht="26.25">
      <c r="A39" s="74">
        <v>11038</v>
      </c>
      <c r="B39" s="76" t="s">
        <v>399</v>
      </c>
      <c r="C39" s="33" t="s">
        <v>396</v>
      </c>
      <c r="D39" s="33"/>
      <c r="E39" s="33"/>
    </row>
    <row r="40" spans="1:5" ht="26.25">
      <c r="A40" s="71">
        <v>11039</v>
      </c>
      <c r="B40" s="77" t="s">
        <v>400</v>
      </c>
      <c r="C40" s="73" t="s">
        <v>396</v>
      </c>
      <c r="D40" s="73"/>
      <c r="E40" s="73"/>
    </row>
    <row r="41" spans="1:5" ht="26.25">
      <c r="A41" s="74">
        <v>11040</v>
      </c>
      <c r="B41" s="76" t="s">
        <v>401</v>
      </c>
      <c r="C41" s="33" t="s">
        <v>59</v>
      </c>
      <c r="D41" s="33"/>
      <c r="E41" s="33"/>
    </row>
    <row r="42" spans="1:5" ht="26.25">
      <c r="A42" s="71">
        <v>11041</v>
      </c>
      <c r="B42" s="77" t="s">
        <v>402</v>
      </c>
      <c r="C42" s="73" t="s">
        <v>59</v>
      </c>
      <c r="D42" s="73"/>
      <c r="E42" s="73"/>
    </row>
    <row r="43" spans="1:5" ht="26.25">
      <c r="A43" s="74">
        <v>11042</v>
      </c>
      <c r="B43" s="76" t="s">
        <v>403</v>
      </c>
      <c r="C43" s="33" t="s">
        <v>11</v>
      </c>
      <c r="D43" s="33"/>
      <c r="E43" s="33"/>
    </row>
    <row r="44" spans="1:5" ht="26.25">
      <c r="A44" s="71">
        <v>11043</v>
      </c>
      <c r="B44" s="77" t="s">
        <v>404</v>
      </c>
      <c r="C44" s="73" t="s">
        <v>11</v>
      </c>
      <c r="D44" s="73"/>
      <c r="E44" s="73"/>
    </row>
    <row r="45" spans="1:5" ht="26.25">
      <c r="A45" s="74">
        <v>11044</v>
      </c>
      <c r="B45" s="76" t="s">
        <v>405</v>
      </c>
      <c r="C45" s="33" t="s">
        <v>11</v>
      </c>
      <c r="D45" s="33"/>
      <c r="E45" s="33"/>
    </row>
  </sheetData>
  <autoFilter ref="A1:E1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كل التخصصات</vt:lpstr>
      <vt:lpstr>الاحصائيات</vt:lpstr>
      <vt:lpstr>محضر المناقشة</vt:lpstr>
      <vt:lpstr>لسانيات الخطاب</vt:lpstr>
      <vt:lpstr>مواضيع لسانيات الخطاب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faculté</dc:creator>
  <cp:lastModifiedBy>mohamed ali</cp:lastModifiedBy>
  <cp:lastPrinted>2020-02-24T08:25:41Z</cp:lastPrinted>
  <dcterms:created xsi:type="dcterms:W3CDTF">2019-10-28T12:49:59Z</dcterms:created>
  <dcterms:modified xsi:type="dcterms:W3CDTF">2026-05-06T18:32:25Z</dcterms:modified>
</cp:coreProperties>
</file>